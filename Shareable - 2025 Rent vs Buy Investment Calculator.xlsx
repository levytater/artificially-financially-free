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mptions and Summary" sheetId="1" r:id="rId4"/>
    <sheet state="visible" name="Monthly  Mortgage Calculation" sheetId="2" r:id="rId5"/>
  </sheets>
  <definedNames/>
  <calcPr/>
</workbook>
</file>

<file path=xl/sharedStrings.xml><?xml version="1.0" encoding="utf-8"?>
<sst xmlns="http://schemas.openxmlformats.org/spreadsheetml/2006/main" count="127" uniqueCount="120">
  <si>
    <t>Renting Case</t>
  </si>
  <si>
    <t>Owning Case</t>
  </si>
  <si>
    <t>Comparison</t>
  </si>
  <si>
    <t>To edit with your own numbers: with a Google Docs account, go to File -&gt; make a copy</t>
  </si>
  <si>
    <t>Renting Assumptions</t>
  </si>
  <si>
    <t>House and Mortgage Assumptions</t>
  </si>
  <si>
    <t>Rates as a percent of the house value</t>
  </si>
  <si>
    <t>Initial monthly rent:</t>
  </si>
  <si>
    <t>House purchase Price</t>
  </si>
  <si>
    <t>Mortgage Interest rate:</t>
  </si>
  <si>
    <t>Maintenance %</t>
  </si>
  <si>
    <t>Property tax %</t>
  </si>
  <si>
    <t>Insurance %</t>
  </si>
  <si>
    <t>House Appreciation</t>
  </si>
  <si>
    <t>After x years</t>
  </si>
  <si>
    <t>Winner</t>
  </si>
  <si>
    <t>Then in your copy, change the assumptions and figures to suit your situation</t>
  </si>
  <si>
    <t>Downpayment (needs % sign)</t>
  </si>
  <si>
    <t>First 5 Years</t>
  </si>
  <si>
    <t>One</t>
  </si>
  <si>
    <t>Amortization (Max 30)</t>
  </si>
  <si>
    <t>Next 5 Years:</t>
  </si>
  <si>
    <t>Five</t>
  </si>
  <si>
    <t>Input fields are in 12-pt font</t>
  </si>
  <si>
    <t>Ontario Land Transfer Tax</t>
  </si>
  <si>
    <t>Ten</t>
  </si>
  <si>
    <t>Conclusion in blue to the right.</t>
  </si>
  <si>
    <t>CPI rate
 (rent increase)</t>
  </si>
  <si>
    <t>Investment return</t>
  </si>
  <si>
    <t>Renters insurance 
(% of monthly rent)</t>
  </si>
  <si>
    <t>Toronto Land Transfer Tax</t>
  </si>
  <si>
    <t>Fifteen</t>
  </si>
  <si>
    <t>For more on the spreadsheet:</t>
  </si>
  <si>
    <t>Title Insurance</t>
  </si>
  <si>
    <t>Calculated Monthly payment</t>
  </si>
  <si>
    <t>Built-in assumptions:</t>
  </si>
  <si>
    <t>Twenty</t>
  </si>
  <si>
    <t>http://www.holypotato.net/?p=1073</t>
  </si>
  <si>
    <t>Legal Fees (including disbursments)</t>
  </si>
  <si>
    <t>CMHC premium is capitalized to mortgage</t>
  </si>
  <si>
    <t>Tweny Five</t>
  </si>
  <si>
    <t>Home Inspection</t>
  </si>
  <si>
    <t>Other closing costs are paid as cash</t>
  </si>
  <si>
    <t>Thirty</t>
  </si>
  <si>
    <t>(Note: If you don't see the file</t>
  </si>
  <si>
    <t>CMHC insurance</t>
  </si>
  <si>
    <t>Buyer is not a first time homebuyer</t>
  </si>
  <si>
    <t>menu, click "Go to spreadsheet view" at the top/bottom)</t>
  </si>
  <si>
    <t>Investment Tax Rate:</t>
  </si>
  <si>
    <t>Total Cash to be used toward purchase</t>
  </si>
  <si>
    <t>House is in Ontario</t>
  </si>
  <si>
    <t>Updates from March 8, 2014:</t>
  </si>
  <si>
    <t>Or, enter 0 here and an after-tax rate of investment return above</t>
  </si>
  <si>
    <t>http://www.holypotato.net/?p=1235</t>
  </si>
  <si>
    <t>Other Assumptions</t>
  </si>
  <si>
    <t>Also be sure to check out the Value of Simple: A Practical Guide to Taking the Complexity Out of Investing</t>
  </si>
  <si>
    <t>Commission (on sale only)</t>
  </si>
  <si>
    <t>http://ValueofSimple.ca</t>
  </si>
  <si>
    <t>House is in Toronto (416)</t>
  </si>
  <si>
    <t>No</t>
  </si>
  <si>
    <t xml:space="preserve">Net worth comparison without selling home </t>
  </si>
  <si>
    <t>Assuming house is sold (with sales commission, but no mortgage penalty), and investment portfolio taxed</t>
  </si>
  <si>
    <t>Year</t>
  </si>
  <si>
    <t>Cost of Renting</t>
  </si>
  <si>
    <t>Surplus vs owning (annual)</t>
  </si>
  <si>
    <t>Investment portfolio</t>
  </si>
  <si>
    <t>Mortgage (P+I)</t>
  </si>
  <si>
    <t>Maintenance</t>
  </si>
  <si>
    <t>Property Tax</t>
  </si>
  <si>
    <t>Insurance</t>
  </si>
  <si>
    <t>Annual Cash Outlay</t>
  </si>
  <si>
    <t>Mortgage Balance (opening)</t>
  </si>
  <si>
    <t>Beginning of year House Value</t>
  </si>
  <si>
    <t>Beginning of year Owner's Equity</t>
  </si>
  <si>
    <t>Timing of comparison</t>
  </si>
  <si>
    <t>Renter ahead by</t>
  </si>
  <si>
    <t>At time of Purchase</t>
  </si>
  <si>
    <t>After 1 year</t>
  </si>
  <si>
    <t>After 2 years</t>
  </si>
  <si>
    <t>After 3 years</t>
  </si>
  <si>
    <t>After 4 Years</t>
  </si>
  <si>
    <t>After 5 Years</t>
  </si>
  <si>
    <t>After 6 Years</t>
  </si>
  <si>
    <t>After 7 Years</t>
  </si>
  <si>
    <t>After 8 Years</t>
  </si>
  <si>
    <t>After 9 Years</t>
  </si>
  <si>
    <t>After 10 Years</t>
  </si>
  <si>
    <t>After 11 Years</t>
  </si>
  <si>
    <t>After 12 Years</t>
  </si>
  <si>
    <t>After 13 Years</t>
  </si>
  <si>
    <t>After 14 Years</t>
  </si>
  <si>
    <t>After 15 Years</t>
  </si>
  <si>
    <t>After 16 Years</t>
  </si>
  <si>
    <t>After 17 Years</t>
  </si>
  <si>
    <t>After 18 Years</t>
  </si>
  <si>
    <t>After 19 Years</t>
  </si>
  <si>
    <t>After 20 Years</t>
  </si>
  <si>
    <t>After 21 Years</t>
  </si>
  <si>
    <t>After 22 Years</t>
  </si>
  <si>
    <t>After 23 Years</t>
  </si>
  <si>
    <t>After 24 Years</t>
  </si>
  <si>
    <t>After 25 Years</t>
  </si>
  <si>
    <t>After 26 Years</t>
  </si>
  <si>
    <t>After 27 Years</t>
  </si>
  <si>
    <t>After 28 Years</t>
  </si>
  <si>
    <t>After 29 Years</t>
  </si>
  <si>
    <t>After 30 Years</t>
  </si>
  <si>
    <t>Original created by Potato for http://www.holypotato.net</t>
  </si>
  <si>
    <t>Extensively modified and improved by Matthew Gordon</t>
  </si>
  <si>
    <t>Month</t>
  </si>
  <si>
    <t>Monthly Payment</t>
  </si>
  <si>
    <t>Monthly Interest</t>
  </si>
  <si>
    <t>Ending Principal</t>
  </si>
  <si>
    <t>Assumptions from previous page</t>
  </si>
  <si>
    <t>Amortization</t>
  </si>
  <si>
    <t>Interest rates</t>
  </si>
  <si>
    <t>Stated rate</t>
  </si>
  <si>
    <t>Calculations</t>
  </si>
  <si>
    <t>monthly factor</t>
  </si>
  <si>
    <t>monthly payment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</si>
</sst>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$#,##0"/>
    <numFmt numFmtId="165" formatCode="&quot;$&quot;#,##0"/>
    <numFmt numFmtId="166" formatCode="$#,##0.00"/>
    <numFmt numFmtId="167" formatCode="#,##0;(#,##0)"/>
  </numFmts>
  <fonts count="11">
    <font>
      <sz val="10.0"/>
      <color rgb="FF000000"/>
      <name val="Arial"/>
    </font>
    <font>
      <b/>
      <sz val="14.0"/>
      <color rgb="FF000000"/>
    </font>
    <font/>
    <font>
      <sz val="10.0"/>
      <color rgb="FF000000"/>
    </font>
    <font>
      <u/>
      <color rgb="FF0000FF"/>
    </font>
    <font>
      <b/>
      <sz val="12.0"/>
      <color rgb="FF000000"/>
    </font>
    <font>
      <u/>
      <color rgb="FF0000FF"/>
    </font>
    <font>
      <b/>
      <sz val="10.0"/>
      <color rgb="FF000000"/>
    </font>
    <font>
      <u/>
      <sz val="8.0"/>
      <color rgb="FF0000FF"/>
    </font>
    <font>
      <u/>
      <sz val="14.0"/>
      <color rgb="FF0000FF"/>
    </font>
    <font>
      <b/>
      <sz val="10.0"/>
    </font>
  </fonts>
  <fills count="1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E4F6DD"/>
        <bgColor rgb="FFE4F6DD"/>
      </patternFill>
    </fill>
    <fill>
      <patternFill patternType="solid">
        <fgColor rgb="FFFEDFDF"/>
        <bgColor rgb="FFFEDFDF"/>
      </patternFill>
    </fill>
    <fill>
      <patternFill patternType="solid">
        <fgColor rgb="FFFFFFFF"/>
        <bgColor rgb="FFFFFFFF"/>
      </patternFill>
    </fill>
  </fills>
  <borders count="16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horizontal="center" readingOrder="0" shrinkToFit="0" vertical="bottom" wrapText="1"/>
    </xf>
    <xf borderId="0" fillId="3" fontId="1" numFmtId="0" xfId="0" applyAlignment="1" applyFill="1" applyFont="1">
      <alignment horizontal="center" readingOrder="0" shrinkToFit="0" vertical="bottom" wrapText="1"/>
    </xf>
    <xf borderId="0" fillId="4" fontId="1" numFmtId="0" xfId="0" applyAlignment="1" applyFill="1" applyFont="1">
      <alignment horizontal="center" readingOrder="0" shrinkToFit="0" vertical="bottom" wrapText="1"/>
    </xf>
    <xf borderId="0" fillId="5" fontId="2" numFmtId="0" xfId="0" applyAlignment="1" applyFill="1" applyFont="1">
      <alignment readingOrder="0" shrinkToFit="0" wrapText="1"/>
    </xf>
    <xf borderId="0" fillId="6" fontId="3" numFmtId="0" xfId="0" applyAlignment="1" applyFill="1" applyFont="1">
      <alignment shrinkToFit="0" wrapText="1"/>
    </xf>
    <xf borderId="0" fillId="7" fontId="3" numFmtId="0" xfId="0" applyAlignment="1" applyFill="1" applyFont="1">
      <alignment shrinkToFit="0" wrapText="1"/>
    </xf>
    <xf borderId="0" fillId="8" fontId="3" numFmtId="0" xfId="0" applyAlignment="1" applyFill="1" applyFont="1">
      <alignment shrinkToFit="0" wrapText="1"/>
    </xf>
    <xf borderId="1" fillId="6" fontId="3" numFmtId="0" xfId="0" applyAlignment="1" applyBorder="1" applyFont="1">
      <alignment shrinkToFit="0" wrapText="1"/>
    </xf>
    <xf borderId="1" fillId="7" fontId="3" numFmtId="0" xfId="0" applyAlignment="1" applyBorder="1" applyFont="1">
      <alignment shrinkToFit="0" wrapText="1"/>
    </xf>
    <xf borderId="2" fillId="6" fontId="3" numFmtId="0" xfId="0" applyAlignment="1" applyBorder="1" applyFont="1">
      <alignment shrinkToFit="0" wrapText="1"/>
    </xf>
    <xf borderId="3" fillId="2" fontId="3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shrinkToFit="0" wrapText="1"/>
    </xf>
    <xf borderId="5" fillId="6" fontId="3" numFmtId="0" xfId="0" applyAlignment="1" applyBorder="1" applyFont="1">
      <alignment shrinkToFit="0" wrapText="1"/>
    </xf>
    <xf borderId="2" fillId="0" fontId="3" numFmtId="0" xfId="0" applyAlignment="1" applyBorder="1" applyFont="1">
      <alignment shrinkToFit="0" wrapText="1"/>
    </xf>
    <xf borderId="3" fillId="3" fontId="3" numFmtId="0" xfId="0" applyAlignment="1" applyBorder="1" applyFont="1">
      <alignment horizontal="center" readingOrder="0" shrinkToFit="0" vertical="bottom" wrapText="0"/>
    </xf>
    <xf borderId="5" fillId="7" fontId="3" numFmtId="0" xfId="0" applyAlignment="1" applyBorder="1" applyFont="1">
      <alignment shrinkToFit="0" wrapText="1"/>
    </xf>
    <xf borderId="6" fillId="7" fontId="3" numFmtId="0" xfId="0" applyAlignment="1" applyBorder="1" applyFont="1">
      <alignment shrinkToFit="0" wrapText="1"/>
    </xf>
    <xf borderId="3" fillId="3" fontId="3" numFmtId="0" xfId="0" applyAlignment="1" applyBorder="1" applyFont="1">
      <alignment horizontal="center" readingOrder="0" shrinkToFit="0" vertical="bottom" wrapText="1"/>
    </xf>
    <xf borderId="7" fillId="0" fontId="2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1" fillId="8" fontId="3" numFmtId="0" xfId="0" applyAlignment="1" applyBorder="1" applyFont="1">
      <alignment shrinkToFit="0" wrapText="1"/>
    </xf>
    <xf borderId="0" fillId="9" fontId="4" numFmtId="0" xfId="0" applyAlignment="1" applyFill="1" applyFont="1">
      <alignment readingOrder="0" shrinkToFit="0" wrapText="1"/>
    </xf>
    <xf borderId="3" fillId="10" fontId="3" numFmtId="0" xfId="0" applyAlignment="1" applyBorder="1" applyFill="1" applyFont="1">
      <alignment readingOrder="0" shrinkToFit="0" wrapText="1"/>
    </xf>
    <xf borderId="4" fillId="10" fontId="5" numFmtId="164" xfId="0" applyAlignment="1" applyBorder="1" applyFont="1" applyNumberFormat="1">
      <alignment readingOrder="0" shrinkToFit="0" wrapText="1"/>
    </xf>
    <xf borderId="8" fillId="11" fontId="3" numFmtId="0" xfId="0" applyAlignment="1" applyBorder="1" applyFill="1" applyFont="1">
      <alignment readingOrder="0" shrinkToFit="0" wrapText="1"/>
    </xf>
    <xf borderId="9" fillId="11" fontId="5" numFmtId="164" xfId="0" applyAlignment="1" applyBorder="1" applyFont="1" applyNumberFormat="1">
      <alignment readingOrder="0" shrinkToFit="0" wrapText="1"/>
    </xf>
    <xf borderId="10" fillId="7" fontId="3" numFmtId="0" xfId="0" applyAlignment="1" applyBorder="1" applyFont="1">
      <alignment shrinkToFit="0" wrapText="1"/>
    </xf>
    <xf borderId="11" fillId="3" fontId="3" numFmtId="0" xfId="0" applyAlignment="1" applyBorder="1" applyFont="1">
      <alignment shrinkToFit="0" wrapText="1"/>
    </xf>
    <xf borderId="11" fillId="3" fontId="3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readingOrder="0" shrinkToFit="0" wrapText="1"/>
    </xf>
    <xf borderId="7" fillId="3" fontId="3" numFmtId="0" xfId="0" applyAlignment="1" applyBorder="1" applyFont="1">
      <alignment readingOrder="0" shrinkToFit="0" wrapText="1"/>
    </xf>
    <xf borderId="4" fillId="3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3" fillId="4" fontId="3" numFmtId="0" xfId="0" applyAlignment="1" applyBorder="1" applyFont="1">
      <alignment readingOrder="0" shrinkToFit="0" wrapText="1"/>
    </xf>
    <xf borderId="4" fillId="4" fontId="3" numFmtId="0" xfId="0" applyAlignment="1" applyBorder="1" applyFont="1">
      <alignment readingOrder="0" shrinkToFit="0" wrapText="1"/>
    </xf>
    <xf borderId="0" fillId="9" fontId="2" numFmtId="0" xfId="0" applyAlignment="1" applyFont="1">
      <alignment readingOrder="0" shrinkToFit="0" wrapText="1"/>
    </xf>
    <xf borderId="12" fillId="6" fontId="3" numFmtId="0" xfId="0" applyAlignment="1" applyBorder="1" applyFont="1">
      <alignment shrinkToFit="0" wrapText="1"/>
    </xf>
    <xf borderId="5" fillId="11" fontId="3" numFmtId="0" xfId="0" applyAlignment="1" applyBorder="1" applyFont="1">
      <alignment readingOrder="0" shrinkToFit="0" wrapText="1"/>
    </xf>
    <xf borderId="2" fillId="11" fontId="5" numFmtId="10" xfId="0" applyAlignment="1" applyBorder="1" applyFont="1" applyNumberFormat="1">
      <alignment readingOrder="0" shrinkToFit="0" wrapText="1"/>
    </xf>
    <xf borderId="13" fillId="11" fontId="3" numFmtId="0" xfId="0" applyAlignment="1" applyBorder="1" applyFont="1">
      <alignment readingOrder="0" shrinkToFit="0" wrapText="1"/>
    </xf>
    <xf borderId="13" fillId="11" fontId="5" numFmtId="10" xfId="0" applyAlignment="1" applyBorder="1" applyFont="1" applyNumberFormat="1">
      <alignment readingOrder="0" shrinkToFit="0" wrapText="1"/>
    </xf>
    <xf borderId="8" fillId="11" fontId="5" numFmtId="10" xfId="0" applyAlignment="1" applyBorder="1" applyFont="1" applyNumberFormat="1">
      <alignment readingOrder="0" shrinkToFit="0" wrapText="1"/>
    </xf>
    <xf borderId="12" fillId="11" fontId="5" numFmtId="10" xfId="0" applyAlignment="1" applyBorder="1" applyFont="1" applyNumberFormat="1">
      <alignment readingOrder="0" shrinkToFit="0" wrapText="1"/>
    </xf>
    <xf borderId="9" fillId="11" fontId="5" numFmtId="10" xfId="0" applyAlignment="1" applyBorder="1" applyFont="1" applyNumberFormat="1">
      <alignment readingOrder="0" shrinkToFit="0" wrapText="1"/>
    </xf>
    <xf borderId="8" fillId="8" fontId="3" numFmtId="0" xfId="0" applyAlignment="1" applyBorder="1" applyFont="1">
      <alignment readingOrder="0" shrinkToFit="0" wrapText="1"/>
    </xf>
    <xf borderId="9" fillId="8" fontId="3" numFmtId="0" xfId="0" applyAlignment="1" applyBorder="1" applyFont="1">
      <alignment shrinkToFit="0" wrapText="1"/>
    </xf>
    <xf borderId="2" fillId="11" fontId="5" numFmtId="0" xfId="0" applyAlignment="1" applyBorder="1" applyFont="1">
      <alignment readingOrder="0" shrinkToFit="0" wrapText="1"/>
    </xf>
    <xf borderId="10" fillId="11" fontId="3" numFmtId="0" xfId="0" applyAlignment="1" applyBorder="1" applyFont="1">
      <alignment readingOrder="0" shrinkToFit="0" wrapText="1"/>
    </xf>
    <xf borderId="0" fillId="11" fontId="5" numFmtId="10" xfId="0" applyAlignment="1" applyFont="1" applyNumberFormat="1">
      <alignment readingOrder="0" shrinkToFit="0" wrapText="1"/>
    </xf>
    <xf borderId="2" fillId="11" fontId="5" numFmtId="10" xfId="0" applyAlignment="1" applyBorder="1" applyFont="1" applyNumberFormat="1">
      <alignment readingOrder="0" shrinkToFit="0" wrapText="1"/>
    </xf>
    <xf borderId="5" fillId="8" fontId="3" numFmtId="0" xfId="0" applyAlignment="1" applyBorder="1" applyFont="1">
      <alignment readingOrder="0" shrinkToFit="0" wrapText="1"/>
    </xf>
    <xf borderId="2" fillId="8" fontId="3" numFmtId="0" xfId="0" applyAlignment="1" applyBorder="1" applyFont="1">
      <alignment shrinkToFit="0" wrapText="1"/>
    </xf>
    <xf borderId="2" fillId="11" fontId="3" numFmtId="165" xfId="0" applyAlignment="1" applyBorder="1" applyFont="1" applyNumberFormat="1">
      <alignment shrinkToFit="0" wrapText="1"/>
    </xf>
    <xf borderId="14" fillId="11" fontId="3" numFmtId="0" xfId="0" applyAlignment="1" applyBorder="1" applyFont="1">
      <alignment shrinkToFit="0" wrapText="1"/>
    </xf>
    <xf borderId="1" fillId="11" fontId="5" numFmtId="10" xfId="0" applyAlignment="1" applyBorder="1" applyFont="1" applyNumberFormat="1">
      <alignment readingOrder="0" shrinkToFit="0" wrapText="1"/>
    </xf>
    <xf borderId="6" fillId="11" fontId="5" numFmtId="10" xfId="0" applyAlignment="1" applyBorder="1" applyFont="1" applyNumberFormat="1">
      <alignment readingOrder="0" shrinkToFit="0" wrapText="1"/>
    </xf>
    <xf borderId="2" fillId="9" fontId="2" numFmtId="0" xfId="0" applyAlignment="1" applyBorder="1" applyFont="1">
      <alignment readingOrder="0" shrinkToFit="0" wrapText="1"/>
    </xf>
    <xf borderId="3" fillId="2" fontId="3" numFmtId="0" xfId="0" applyAlignment="1" applyBorder="1" applyFont="1">
      <alignment shrinkToFit="0" wrapText="1"/>
    </xf>
    <xf borderId="7" fillId="2" fontId="3" numFmtId="0" xfId="0" applyAlignment="1" applyBorder="1" applyFont="1">
      <alignment horizontal="center" readingOrder="0" shrinkToFit="0" vertical="bottom" wrapText="1"/>
    </xf>
    <xf borderId="4" fillId="2" fontId="3" numFmtId="166" xfId="0" applyAlignment="1" applyBorder="1" applyFont="1" applyNumberFormat="1">
      <alignment horizontal="center" readingOrder="0" shrinkToFit="0" vertical="bottom" wrapText="1"/>
    </xf>
    <xf borderId="7" fillId="7" fontId="3" numFmtId="0" xfId="0" applyAlignment="1" applyBorder="1" applyFont="1">
      <alignment shrinkToFit="0" wrapText="1"/>
    </xf>
    <xf borderId="12" fillId="7" fontId="3" numFmtId="0" xfId="0" applyAlignment="1" applyBorder="1" applyFont="1">
      <alignment shrinkToFit="0" wrapText="1"/>
    </xf>
    <xf borderId="5" fillId="8" fontId="3" numFmtId="0" xfId="0" applyAlignment="1" applyBorder="1" applyFont="1">
      <alignment readingOrder="0" shrinkToFit="0" wrapText="1"/>
    </xf>
    <xf borderId="2" fillId="0" fontId="2" numFmtId="0" xfId="0" applyAlignment="1" applyBorder="1" applyFont="1">
      <alignment readingOrder="0" shrinkToFit="0" wrapText="1"/>
    </xf>
    <xf borderId="8" fillId="10" fontId="3" numFmtId="0" xfId="0" applyAlignment="1" applyBorder="1" applyFont="1">
      <alignment readingOrder="0" shrinkToFit="0" wrapText="1"/>
    </xf>
    <xf borderId="12" fillId="10" fontId="5" numFmtId="10" xfId="0" applyAlignment="1" applyBorder="1" applyFont="1" applyNumberFormat="1">
      <alignment readingOrder="0" shrinkToFit="0" wrapText="1"/>
    </xf>
    <xf borderId="9" fillId="10" fontId="5" numFmtId="10" xfId="0" applyAlignment="1" applyBorder="1" applyFont="1" applyNumberFormat="1">
      <alignment readingOrder="0" shrinkToFit="0" wrapText="1"/>
    </xf>
    <xf borderId="2" fillId="11" fontId="5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2" fillId="0" fontId="6" numFmtId="0" xfId="0" applyAlignment="1" applyBorder="1" applyFont="1">
      <alignment readingOrder="0" shrinkToFit="0" wrapText="1"/>
    </xf>
    <xf borderId="5" fillId="10" fontId="3" numFmtId="0" xfId="0" applyAlignment="1" applyBorder="1" applyFont="1">
      <alignment readingOrder="0" shrinkToFit="0" wrapText="1"/>
    </xf>
    <xf borderId="2" fillId="10" fontId="5" numFmtId="10" xfId="0" applyAlignment="1" applyBorder="1" applyFont="1" applyNumberFormat="1">
      <alignment readingOrder="0" shrinkToFit="0" wrapText="1"/>
    </xf>
    <xf borderId="9" fillId="11" fontId="3" numFmtId="4" xfId="0" applyAlignment="1" applyBorder="1" applyFont="1" applyNumberFormat="1">
      <alignment shrinkToFit="0" wrapText="1"/>
    </xf>
    <xf borderId="9" fillId="0" fontId="2" numFmtId="0" xfId="0" applyAlignment="1" applyBorder="1" applyFont="1">
      <alignment shrinkToFit="0" wrapText="1"/>
    </xf>
    <xf borderId="15" fillId="10" fontId="3" numFmtId="0" xfId="0" applyAlignment="1" applyBorder="1" applyFont="1">
      <alignment shrinkToFit="0" wrapText="1"/>
    </xf>
    <xf borderId="6" fillId="10" fontId="5" numFmtId="10" xfId="0" applyAlignment="1" applyBorder="1" applyFont="1" applyNumberFormat="1">
      <alignment readingOrder="0" shrinkToFit="0" wrapText="1"/>
    </xf>
    <xf borderId="2" fillId="11" fontId="3" numFmtId="4" xfId="0" applyAlignment="1" applyBorder="1" applyFont="1" applyNumberFormat="1">
      <alignment shrinkToFit="0" wrapText="1"/>
    </xf>
    <xf borderId="2" fillId="0" fontId="2" numFmtId="0" xfId="0" applyAlignment="1" applyBorder="1" applyFont="1">
      <alignment shrinkToFit="0" wrapText="1"/>
    </xf>
    <xf borderId="15" fillId="8" fontId="3" numFmtId="0" xfId="0" applyAlignment="1" applyBorder="1" applyFont="1">
      <alignment readingOrder="0" shrinkToFit="0" wrapText="1"/>
    </xf>
    <xf borderId="6" fillId="8" fontId="3" numFmtId="0" xfId="0" applyAlignment="1" applyBorder="1" applyFont="1">
      <alignment shrinkToFit="0" wrapText="1"/>
    </xf>
    <xf borderId="0" fillId="0" fontId="2" numFmtId="0" xfId="0" applyAlignment="1" applyFont="1">
      <alignment readingOrder="0" shrinkToFit="0" wrapText="1"/>
    </xf>
    <xf borderId="7" fillId="6" fontId="3" numFmtId="0" xfId="0" applyAlignment="1" applyBorder="1" applyFont="1">
      <alignment shrinkToFit="0" wrapText="1"/>
    </xf>
    <xf borderId="2" fillId="11" fontId="3" numFmtId="10" xfId="0" applyAlignment="1" applyBorder="1" applyFont="1" applyNumberFormat="1">
      <alignment shrinkToFit="0" wrapText="1"/>
    </xf>
    <xf borderId="15" fillId="11" fontId="3" numFmtId="0" xfId="0" applyAlignment="1" applyBorder="1" applyFont="1">
      <alignment shrinkToFit="0" wrapText="1"/>
    </xf>
    <xf borderId="6" fillId="11" fontId="3" numFmtId="4" xfId="0" applyAlignment="1" applyBorder="1" applyFont="1" applyNumberFormat="1">
      <alignment shrinkToFit="0" wrapText="1"/>
    </xf>
    <xf borderId="0" fillId="8" fontId="7" numFmtId="0" xfId="0" applyAlignment="1" applyFont="1">
      <alignment shrinkToFit="0" wrapText="1"/>
    </xf>
    <xf borderId="4" fillId="10" fontId="5" numFmtId="10" xfId="0" applyAlignment="1" applyBorder="1" applyFont="1" applyNumberFormat="1">
      <alignment readingOrder="0" shrinkToFit="0" wrapText="1"/>
    </xf>
    <xf borderId="15" fillId="6" fontId="3" numFmtId="0" xfId="0" applyAlignment="1" applyBorder="1" applyFont="1">
      <alignment shrinkToFit="0" wrapText="1"/>
    </xf>
    <xf borderId="15" fillId="11" fontId="3" numFmtId="0" xfId="0" applyAlignment="1" applyBorder="1" applyFont="1">
      <alignment readingOrder="0" shrinkToFit="0" wrapText="1"/>
    </xf>
    <xf borderId="6" fillId="11" fontId="3" numFmtId="166" xfId="0" applyAlignment="1" applyBorder="1" applyFont="1" applyNumberFormat="1">
      <alignment shrinkToFit="0" wrapText="1"/>
    </xf>
    <xf borderId="2" fillId="7" fontId="3" numFmtId="0" xfId="0" applyAlignment="1" applyBorder="1" applyFont="1">
      <alignment shrinkToFit="0" wrapText="1"/>
    </xf>
    <xf borderId="6" fillId="0" fontId="2" numFmtId="0" xfId="0" applyAlignment="1" applyBorder="1" applyFont="1">
      <alignment shrinkToFit="0" wrapText="1"/>
    </xf>
    <xf borderId="12" fillId="6" fontId="3" numFmtId="0" xfId="0" applyAlignment="1" applyBorder="1" applyFont="1">
      <alignment readingOrder="0" shrinkToFit="0" wrapText="1"/>
    </xf>
    <xf borderId="12" fillId="0" fontId="2" numFmtId="0" xfId="0" applyAlignment="1" applyBorder="1" applyFont="1">
      <alignment shrinkToFit="0" wrapText="1"/>
    </xf>
    <xf borderId="0" fillId="0" fontId="8" numFmtId="0" xfId="0" applyAlignment="1" applyFont="1">
      <alignment readingOrder="0" shrinkToFit="0" wrapText="1"/>
    </xf>
    <xf borderId="1" fillId="0" fontId="2" numFmtId="0" xfId="0" applyAlignment="1" applyBorder="1" applyFont="1">
      <alignment shrinkToFit="0" wrapText="1"/>
    </xf>
    <xf borderId="0" fillId="0" fontId="9" numFmtId="0" xfId="0" applyAlignment="1" applyFont="1">
      <alignment readingOrder="0" shrinkToFit="0" wrapText="1"/>
    </xf>
    <xf borderId="6" fillId="11" fontId="5" numFmtId="0" xfId="0" applyAlignment="1" applyBorder="1" applyFont="1">
      <alignment horizontal="right" readingOrder="0" shrinkToFit="0" vertical="bottom" wrapText="1"/>
    </xf>
    <xf borderId="0" fillId="8" fontId="3" numFmtId="0" xfId="0" applyAlignment="1" applyFont="1">
      <alignment readingOrder="0" shrinkToFit="0" wrapText="1"/>
    </xf>
    <xf borderId="0" fillId="12" fontId="3" numFmtId="0" xfId="0" applyAlignment="1" applyFill="1" applyFont="1">
      <alignment shrinkToFit="0" wrapText="1"/>
    </xf>
    <xf borderId="0" fillId="2" fontId="3" numFmtId="0" xfId="0" applyAlignment="1" applyFont="1">
      <alignment horizontal="center" readingOrder="0" shrinkToFit="0" vertical="bottom" wrapText="1"/>
    </xf>
    <xf borderId="0" fillId="2" fontId="7" numFmtId="0" xfId="0" applyAlignment="1" applyFont="1">
      <alignment horizontal="center" readingOrder="0" shrinkToFit="0" vertical="bottom" wrapText="1"/>
    </xf>
    <xf borderId="0" fillId="3" fontId="3" numFmtId="0" xfId="0" applyAlignment="1" applyFont="1">
      <alignment horizontal="center" readingOrder="0" shrinkToFit="0" vertical="bottom" wrapText="1"/>
    </xf>
    <xf borderId="0" fillId="3" fontId="7" numFmtId="0" xfId="0" applyAlignment="1" applyFont="1">
      <alignment horizontal="center" readingOrder="0" shrinkToFit="0" vertical="bottom" wrapText="1"/>
    </xf>
    <xf borderId="0" fillId="8" fontId="10" numFmtId="0" xfId="0" applyAlignment="1" applyFont="1">
      <alignment readingOrder="0" shrinkToFit="0" wrapText="1"/>
    </xf>
    <xf borderId="0" fillId="8" fontId="7" numFmtId="0" xfId="0" applyAlignment="1" applyFont="1">
      <alignment readingOrder="0" shrinkToFit="0" wrapText="1"/>
    </xf>
    <xf borderId="0" fillId="12" fontId="7" numFmtId="0" xfId="0" applyAlignment="1" applyFont="1">
      <alignment shrinkToFit="0" wrapText="1"/>
    </xf>
    <xf borderId="0" fillId="6" fontId="3" numFmtId="0" xfId="0" applyAlignment="1" applyFont="1">
      <alignment readingOrder="0" shrinkToFit="0" wrapText="1"/>
    </xf>
    <xf borderId="0" fillId="6" fontId="3" numFmtId="3" xfId="0" applyAlignment="1" applyFont="1" applyNumberFormat="1">
      <alignment shrinkToFit="0" wrapText="1"/>
    </xf>
    <xf borderId="0" fillId="7" fontId="3" numFmtId="3" xfId="0" applyAlignment="1" applyFont="1" applyNumberFormat="1">
      <alignment shrinkToFit="0" wrapText="1"/>
    </xf>
    <xf borderId="0" fillId="7" fontId="3" numFmtId="167" xfId="0" applyAlignment="1" applyFont="1" applyNumberFormat="1">
      <alignment shrinkToFit="0" wrapText="1"/>
    </xf>
    <xf borderId="0" fillId="8" fontId="2" numFmtId="0" xfId="0" applyAlignment="1" applyFont="1">
      <alignment horizontal="center" readingOrder="0" shrinkToFit="0" vertical="bottom" wrapText="1"/>
    </xf>
    <xf borderId="0" fillId="8" fontId="3" numFmtId="3" xfId="0" applyAlignment="1" applyFont="1" applyNumberFormat="1">
      <alignment shrinkToFit="0" wrapText="1"/>
    </xf>
    <xf borderId="0" fillId="8" fontId="3" numFmtId="164" xfId="0" applyAlignment="1" applyFont="1" applyNumberFormat="1">
      <alignment shrinkToFit="0" wrapText="1"/>
    </xf>
    <xf borderId="0" fillId="12" fontId="3" numFmtId="3" xfId="0" applyAlignment="1" applyFont="1" applyNumberFormat="1">
      <alignment shrinkToFit="0" wrapText="1"/>
    </xf>
    <xf borderId="0" fillId="6" fontId="3" numFmtId="0" xfId="0" applyAlignment="1" applyFont="1">
      <alignment shrinkToFit="0" wrapText="1"/>
    </xf>
    <xf borderId="0" fillId="6" fontId="7" numFmtId="3" xfId="0" applyAlignment="1" applyFont="1" applyNumberFormat="1">
      <alignment shrinkToFit="0" wrapText="1"/>
    </xf>
    <xf borderId="0" fillId="7" fontId="7" numFmtId="3" xfId="0" applyAlignment="1" applyFont="1" applyNumberFormat="1">
      <alignment shrinkToFit="0" wrapText="1"/>
    </xf>
    <xf borderId="0" fillId="6" fontId="7" numFmtId="0" xfId="0" applyAlignment="1" applyFont="1">
      <alignment readingOrder="0" shrinkToFit="0" wrapText="1"/>
    </xf>
    <xf borderId="0" fillId="3" fontId="3" numFmtId="0" xfId="0" applyAlignment="1" applyFont="1">
      <alignment readingOrder="0" shrinkToFit="0" wrapText="1"/>
    </xf>
    <xf borderId="8" fillId="3" fontId="7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shrinkToFit="0" wrapText="1"/>
    </xf>
    <xf borderId="0" fillId="7" fontId="3" numFmtId="0" xfId="0" applyAlignment="1" applyFont="1">
      <alignment readingOrder="0" shrinkToFit="0" wrapText="1"/>
    </xf>
    <xf borderId="0" fillId="7" fontId="3" numFmtId="0" xfId="0" applyAlignment="1" applyFont="1">
      <alignment readingOrder="0" shrinkToFit="0" wrapText="1"/>
    </xf>
    <xf borderId="0" fillId="7" fontId="3" numFmtId="166" xfId="0" applyAlignment="1" applyFont="1" applyNumberFormat="1">
      <alignment shrinkToFit="0" wrapText="1"/>
    </xf>
    <xf borderId="0" fillId="7" fontId="3" numFmtId="0" xfId="0" applyAlignment="1" applyFont="1">
      <alignment shrinkToFit="0" wrapText="1"/>
    </xf>
    <xf borderId="6" fillId="11" fontId="3" numFmtId="0" xfId="0" applyAlignment="1" applyBorder="1" applyFont="1">
      <alignment shrinkToFit="0" wrapText="1"/>
    </xf>
    <xf borderId="12" fillId="11" fontId="3" numFmtId="0" xfId="0" applyAlignment="1" applyBorder="1" applyFont="1">
      <alignment shrinkToFit="0" wrapText="1"/>
    </xf>
    <xf borderId="1" fillId="11" fontId="3" numFmtId="0" xfId="0" applyAlignment="1" applyBorder="1" applyFont="1">
      <alignment shrinkToFit="0" wrapText="1"/>
    </xf>
    <xf borderId="8" fillId="3" fontId="3" numFmtId="0" xfId="0" applyAlignment="1" applyBorder="1" applyFont="1">
      <alignment readingOrder="0" shrinkToFit="0" wrapText="1"/>
    </xf>
    <xf borderId="9" fillId="3" fontId="3" numFmtId="0" xfId="0" applyAlignment="1" applyBorder="1" applyFont="1">
      <alignment readingOrder="0" shrinkToFit="0" wrapText="1"/>
    </xf>
    <xf borderId="10" fillId="11" fontId="3" numFmtId="0" xfId="0" applyAlignment="1" applyBorder="1" applyFont="1">
      <alignment shrinkToFit="0" wrapText="1"/>
    </xf>
    <xf borderId="10" fillId="11" fontId="3" numFmtId="10" xfId="0" applyAlignment="1" applyBorder="1" applyFont="1" applyNumberFormat="1">
      <alignment shrinkToFit="0" wrapText="1"/>
    </xf>
    <xf borderId="14" fillId="11" fontId="3" numFmtId="10" xfId="0" applyAlignment="1" applyBorder="1" applyFont="1" applyNumberFormat="1">
      <alignment shrinkToFit="0" wrapText="1"/>
    </xf>
    <xf borderId="7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wrapText="1"/>
    </xf>
    <xf borderId="3" fillId="3" fontId="7" numFmtId="0" xfId="0" applyAlignment="1" applyBorder="1" applyFont="1">
      <alignment horizontal="center" readingOrder="0" shrinkToFit="0" vertical="bottom" wrapText="1"/>
    </xf>
    <xf borderId="13" fillId="3" fontId="3" numFmtId="0" xfId="0" applyAlignment="1" applyBorder="1" applyFont="1">
      <alignment shrinkToFit="0" wrapText="1"/>
    </xf>
    <xf borderId="5" fillId="11" fontId="3" numFmtId="10" xfId="0" applyAlignment="1" applyBorder="1" applyFont="1" applyNumberFormat="1">
      <alignment shrinkToFit="0" wrapText="1"/>
    </xf>
    <xf borderId="2" fillId="11" fontId="3" numFmtId="166" xfId="0" applyAlignment="1" applyBorder="1" applyFont="1" applyNumberFormat="1">
      <alignment shrinkToFit="0" wrapText="1"/>
    </xf>
    <xf borderId="12" fillId="0" fontId="3" numFmtId="0" xfId="0" applyAlignment="1" applyBorder="1" applyFont="1">
      <alignment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holypotato.net/?p=1073" TargetMode="External"/><Relationship Id="rId2" Type="http://schemas.openxmlformats.org/officeDocument/2006/relationships/hyperlink" Target="http://www.holypotato.net/?p=1235" TargetMode="External"/><Relationship Id="rId3" Type="http://schemas.openxmlformats.org/officeDocument/2006/relationships/hyperlink" Target="http://valueofsimple.ca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7.13"/>
    <col customWidth="1" min="2" max="2" width="12.5"/>
    <col customWidth="1" min="3" max="3" width="12.38"/>
    <col customWidth="1" min="4" max="4" width="12.0"/>
    <col customWidth="1" min="5" max="5" width="15.13"/>
    <col customWidth="1" min="6" max="6" width="4.63"/>
    <col customWidth="1" min="7" max="7" width="20.25"/>
    <col customWidth="1" min="8" max="8" width="15.13"/>
    <col customWidth="1" min="9" max="9" width="7.88"/>
    <col customWidth="1" min="10" max="10" width="12.38"/>
    <col customWidth="1" min="11" max="15" width="15.13"/>
    <col customWidth="1" min="16" max="16" width="15.88"/>
    <col customWidth="1" min="17" max="17" width="14.0"/>
    <col customWidth="1" min="18" max="18" width="16.38"/>
    <col customWidth="1" min="19" max="19" width="15.13"/>
  </cols>
  <sheetData>
    <row r="1" ht="18.0" customHeight="1">
      <c r="B1" s="1" t="s">
        <v>0</v>
      </c>
      <c r="G1" s="2" t="s">
        <v>1</v>
      </c>
      <c r="Q1" s="3" t="s">
        <v>2</v>
      </c>
    </row>
    <row r="2">
      <c r="A2" s="4" t="s">
        <v>3</v>
      </c>
      <c r="B2" s="5"/>
      <c r="C2" s="5"/>
      <c r="D2" s="5"/>
      <c r="E2" s="5"/>
      <c r="G2" s="6"/>
      <c r="H2" s="6"/>
      <c r="I2" s="6"/>
      <c r="J2" s="6"/>
      <c r="K2" s="6"/>
      <c r="L2" s="6"/>
      <c r="M2" s="6"/>
      <c r="N2" s="6"/>
      <c r="O2" s="6"/>
      <c r="Q2" s="7"/>
      <c r="R2" s="7"/>
    </row>
    <row r="3">
      <c r="B3" s="5"/>
      <c r="C3" s="8"/>
      <c r="D3" s="8"/>
      <c r="E3" s="5"/>
      <c r="G3" s="9"/>
      <c r="H3" s="9"/>
      <c r="I3" s="6"/>
      <c r="J3" s="6"/>
      <c r="K3" s="6"/>
      <c r="L3" s="9"/>
      <c r="M3" s="9"/>
      <c r="N3" s="9"/>
      <c r="O3" s="9"/>
      <c r="Q3" s="7"/>
      <c r="R3" s="7"/>
    </row>
    <row r="4">
      <c r="B4" s="10"/>
      <c r="C4" s="11" t="s">
        <v>4</v>
      </c>
      <c r="D4" s="12"/>
      <c r="E4" s="13"/>
      <c r="F4" s="14"/>
      <c r="G4" s="15" t="s">
        <v>5</v>
      </c>
      <c r="H4" s="12"/>
      <c r="I4" s="16"/>
      <c r="J4" s="9"/>
      <c r="K4" s="17"/>
      <c r="L4" s="18" t="s">
        <v>6</v>
      </c>
      <c r="M4" s="19"/>
      <c r="N4" s="19"/>
      <c r="O4" s="12"/>
      <c r="P4" s="20"/>
      <c r="Q4" s="21"/>
      <c r="R4" s="21"/>
    </row>
    <row r="5" ht="25.5" customHeight="1">
      <c r="A5" s="22" t="str">
        <f>HYPERLINK("http://www.holypotato.net/?p=1073","Or, download to excel with File -&gt; Download as (or directly from the about page -- click here)")</f>
        <v>Or, download to excel with File -&gt; Download as (or directly from the about page -- click here)</v>
      </c>
      <c r="B5" s="10"/>
      <c r="C5" s="23" t="s">
        <v>7</v>
      </c>
      <c r="D5" s="24">
        <v>4700.0</v>
      </c>
      <c r="E5" s="13"/>
      <c r="F5" s="14"/>
      <c r="G5" s="25" t="s">
        <v>8</v>
      </c>
      <c r="H5" s="26">
        <v>1350000.0</v>
      </c>
      <c r="I5" s="27"/>
      <c r="J5" s="28"/>
      <c r="K5" s="29" t="s">
        <v>9</v>
      </c>
      <c r="L5" s="30" t="s">
        <v>10</v>
      </c>
      <c r="M5" s="31" t="s">
        <v>11</v>
      </c>
      <c r="N5" s="31" t="s">
        <v>12</v>
      </c>
      <c r="O5" s="32" t="s">
        <v>13</v>
      </c>
      <c r="P5" s="33"/>
      <c r="Q5" s="34" t="s">
        <v>14</v>
      </c>
      <c r="R5" s="35" t="s">
        <v>15</v>
      </c>
      <c r="S5" s="20"/>
    </row>
    <row r="6" ht="25.5" customHeight="1">
      <c r="A6" s="36" t="s">
        <v>16</v>
      </c>
      <c r="B6" s="5"/>
      <c r="C6" s="37"/>
      <c r="D6" s="37"/>
      <c r="E6" s="5"/>
      <c r="F6" s="14"/>
      <c r="G6" s="38" t="s">
        <v>17</v>
      </c>
      <c r="H6" s="39">
        <v>0.0833</v>
      </c>
      <c r="I6" s="27"/>
      <c r="J6" s="40" t="s">
        <v>18</v>
      </c>
      <c r="K6" s="41">
        <v>0.042</v>
      </c>
      <c r="L6" s="42">
        <v>0.005</v>
      </c>
      <c r="M6" s="43">
        <v>0.005</v>
      </c>
      <c r="N6" s="43">
        <v>0.00226</v>
      </c>
      <c r="O6" s="44">
        <v>0.03</v>
      </c>
      <c r="P6" s="33"/>
      <c r="Q6" s="45" t="s">
        <v>19</v>
      </c>
      <c r="R6" s="46" t="str">
        <f>IF((R22&gt;0),concatenate("Renting by $",round(R22,0)),concatenate("Buying by $",-round(R22,0)))</f>
        <v>Renting by $79314</v>
      </c>
      <c r="S6" s="20"/>
    </row>
    <row r="7">
      <c r="B7" s="5"/>
      <c r="C7" s="5"/>
      <c r="D7" s="5"/>
      <c r="E7" s="5"/>
      <c r="F7" s="14"/>
      <c r="G7" s="38" t="s">
        <v>20</v>
      </c>
      <c r="H7" s="47">
        <v>25.0</v>
      </c>
      <c r="I7" s="27"/>
      <c r="J7" s="48" t="s">
        <v>21</v>
      </c>
      <c r="K7" s="41">
        <v>0.048</v>
      </c>
      <c r="L7" s="42">
        <v>0.005</v>
      </c>
      <c r="M7" s="43">
        <v>0.005</v>
      </c>
      <c r="N7" s="49">
        <v>0.0024</v>
      </c>
      <c r="O7" s="50">
        <v>0.03</v>
      </c>
      <c r="P7" s="33"/>
      <c r="Q7" s="51" t="s">
        <v>22</v>
      </c>
      <c r="R7" s="52" t="str">
        <f>IF((R26&gt;0),concatenate("Renting by $",round(R26,0)),concatenate("Buying by $",-round(R26,0)))</f>
        <v>Buying by $1729</v>
      </c>
      <c r="S7" s="20"/>
    </row>
    <row r="8">
      <c r="A8" s="36" t="s">
        <v>23</v>
      </c>
      <c r="B8" s="8"/>
      <c r="C8" s="8"/>
      <c r="D8" s="8"/>
      <c r="E8" s="8"/>
      <c r="F8" s="14"/>
      <c r="G8" s="38" t="s">
        <v>24</v>
      </c>
      <c r="H8" s="53">
        <f>IF((H5&gt;400000),(4475+((H5-400000)*0.02)),IF((H5&gt;250000),(2225+((H5-250000)*0.015)),IF((H5&gt;55000),(275+((H5-55000)*0.01)),(H5*0.005))))</f>
        <v>23475</v>
      </c>
      <c r="I8" s="27"/>
      <c r="J8" s="54" t="str">
        <f>("Final "&amp;(H7-10))&amp;" Years"</f>
        <v>Final 15 Years</v>
      </c>
      <c r="K8" s="41">
        <v>0.048</v>
      </c>
      <c r="L8" s="42">
        <v>0.005</v>
      </c>
      <c r="M8" s="43">
        <v>0.005</v>
      </c>
      <c r="N8" s="55">
        <v>0.0025</v>
      </c>
      <c r="O8" s="56">
        <v>0.03</v>
      </c>
      <c r="P8" s="33"/>
      <c r="Q8" s="51" t="s">
        <v>25</v>
      </c>
      <c r="R8" s="52" t="str">
        <f>IF((R31&gt;0),concatenate("Renting by $",round(R31,0)),concatenate("Buying by $",-round(R31,0)))</f>
        <v>Buying by $71356</v>
      </c>
      <c r="S8" s="20"/>
    </row>
    <row r="9" ht="25.5" customHeight="1">
      <c r="A9" s="57" t="s">
        <v>26</v>
      </c>
      <c r="B9" s="58"/>
      <c r="C9" s="59" t="s">
        <v>27</v>
      </c>
      <c r="D9" s="59" t="s">
        <v>28</v>
      </c>
      <c r="E9" s="60" t="s">
        <v>29</v>
      </c>
      <c r="F9" s="33"/>
      <c r="G9" s="38" t="s">
        <v>30</v>
      </c>
      <c r="H9" s="53">
        <f>IF((H18="YES"),IF((H5&gt;400000),(3725+((H5-400000)*0.02)),IF((H5&gt;55000),(275+((H5-55000)*0.01)),(H5*0.005))),0)</f>
        <v>0</v>
      </c>
      <c r="I9" s="16"/>
      <c r="J9" s="61"/>
      <c r="K9" s="61"/>
      <c r="L9" s="62"/>
      <c r="M9" s="61"/>
      <c r="N9" s="61"/>
      <c r="O9" s="62"/>
      <c r="P9" s="14"/>
      <c r="Q9" s="63" t="s">
        <v>31</v>
      </c>
      <c r="R9" s="52" t="str">
        <f>IF((R36&gt;0),concatenate("Renting by $",round(R36,0)),concatenate("Buying by $",-round(R36,0)))</f>
        <v>Buying by $123539</v>
      </c>
      <c r="S9" s="20"/>
    </row>
    <row r="10" ht="25.5" customHeight="1">
      <c r="A10" s="64" t="s">
        <v>32</v>
      </c>
      <c r="B10" s="65" t="s">
        <v>18</v>
      </c>
      <c r="C10" s="66">
        <v>0.025</v>
      </c>
      <c r="D10" s="66">
        <v>0.08</v>
      </c>
      <c r="E10" s="67">
        <v>0.01</v>
      </c>
      <c r="F10" s="33"/>
      <c r="G10" s="38" t="s">
        <v>33</v>
      </c>
      <c r="H10" s="68">
        <v>250.0</v>
      </c>
      <c r="I10" s="27"/>
      <c r="J10" s="69"/>
      <c r="K10" s="32" t="s">
        <v>34</v>
      </c>
      <c r="L10" s="27"/>
      <c r="M10" s="18" t="s">
        <v>35</v>
      </c>
      <c r="N10" s="12"/>
      <c r="O10" s="16"/>
      <c r="P10" s="14"/>
      <c r="Q10" s="51" t="s">
        <v>36</v>
      </c>
      <c r="R10" s="52" t="str">
        <f>IF((R41&gt;0),concatenate("Renting by $",round(R41,0)),concatenate("Buying by $",-round(R41,0)))</f>
        <v>Buying by $128062</v>
      </c>
      <c r="S10" s="20"/>
    </row>
    <row r="11" ht="25.5" customHeight="1">
      <c r="A11" s="70" t="s">
        <v>37</v>
      </c>
      <c r="B11" s="71" t="s">
        <v>21</v>
      </c>
      <c r="C11" s="66">
        <v>0.025</v>
      </c>
      <c r="D11" s="66">
        <v>0.08</v>
      </c>
      <c r="E11" s="72">
        <v>0.01</v>
      </c>
      <c r="F11" s="33"/>
      <c r="G11" s="38" t="s">
        <v>38</v>
      </c>
      <c r="H11" s="68">
        <v>1500.0</v>
      </c>
      <c r="I11" s="27"/>
      <c r="J11" s="25" t="s">
        <v>18</v>
      </c>
      <c r="K11" s="73">
        <f>'Monthly  Mortgage Calculation'!I13</f>
        <v>6853.910029</v>
      </c>
      <c r="L11" s="27"/>
      <c r="M11" s="25" t="s">
        <v>39</v>
      </c>
      <c r="N11" s="74"/>
      <c r="O11" s="16"/>
      <c r="Q11" s="51" t="s">
        <v>40</v>
      </c>
      <c r="R11" s="52" t="str">
        <f>IF((R46&gt;0),concatenate("Renting by $",round(R46,0)),concatenate("Buying by $",-round(R46,0)))</f>
        <v>Buying by $34676</v>
      </c>
    </row>
    <row r="12">
      <c r="A12" s="14"/>
      <c r="B12" s="75" t="str">
        <f>("Final "&amp;(H7-10))&amp;" Years"</f>
        <v>Final 15 Years</v>
      </c>
      <c r="C12" s="66">
        <v>0.025</v>
      </c>
      <c r="D12" s="66">
        <v>0.08</v>
      </c>
      <c r="E12" s="76">
        <v>0.01</v>
      </c>
      <c r="F12" s="33"/>
      <c r="G12" s="38" t="s">
        <v>41</v>
      </c>
      <c r="H12" s="68">
        <v>400.0</v>
      </c>
      <c r="I12" s="27"/>
      <c r="J12" s="38" t="s">
        <v>21</v>
      </c>
      <c r="K12" s="77">
        <f>'Monthly  Mortgage Calculation'!I14</f>
        <v>7207.722077</v>
      </c>
      <c r="L12" s="27"/>
      <c r="M12" s="38" t="s">
        <v>42</v>
      </c>
      <c r="N12" s="78"/>
      <c r="O12" s="16"/>
      <c r="Q12" s="79" t="s">
        <v>43</v>
      </c>
      <c r="R12" s="80" t="str">
        <f>IF((R51&gt;0),concatenate("Renting by $",round(R51,0)),concatenate("Buying by $",-round(R51,0)))</f>
        <v>Renting by $228978</v>
      </c>
    </row>
    <row r="13">
      <c r="A13" s="81" t="s">
        <v>44</v>
      </c>
      <c r="B13" s="37"/>
      <c r="C13" s="82"/>
      <c r="D13" s="82"/>
      <c r="E13" s="37"/>
      <c r="F13" s="14"/>
      <c r="G13" s="38" t="s">
        <v>45</v>
      </c>
      <c r="H13" s="83">
        <f>IF((H7&gt;25),(IF((H6&gt;=(20/100)),0,IF((H6&gt;=(15/100)),(1.95/100),IF((H6&gt;=(10/100)),(2.2/100),IF((H6&gt;=(5/100)),(2.95/100),(100/100)))))),IF((H6&gt;=(20/100)),0,IF((H6&gt;=(15/100)),(1.8/100),IF((H6&gt;=(10/100)),(2.4/100),IF((H6&gt;=(5/100)),(3.15/100),(100/100))))))</f>
        <v>0.0315</v>
      </c>
      <c r="I13" s="27"/>
      <c r="J13" s="84" t="str">
        <f>("Final "&amp;(H7-10))&amp;" Years"</f>
        <v>Final 15 Years</v>
      </c>
      <c r="K13" s="85">
        <f>'Monthly  Mortgage Calculation'!I15</f>
        <v>7207.722077</v>
      </c>
      <c r="L13" s="27"/>
      <c r="M13" s="38" t="s">
        <v>46</v>
      </c>
      <c r="N13" s="78"/>
      <c r="O13" s="16"/>
      <c r="Q13" s="86"/>
      <c r="R13" s="7"/>
    </row>
    <row r="14" ht="25.5" customHeight="1">
      <c r="A14" s="81" t="s">
        <v>47</v>
      </c>
      <c r="B14" s="10"/>
      <c r="C14" s="23" t="s">
        <v>48</v>
      </c>
      <c r="D14" s="87">
        <v>0.35</v>
      </c>
      <c r="E14" s="88"/>
      <c r="F14" s="14"/>
      <c r="G14" s="89" t="s">
        <v>49</v>
      </c>
      <c r="H14" s="90">
        <f>(((((H6*H5)+H8)+H9)+H10)+H11)+H12</f>
        <v>138080</v>
      </c>
      <c r="I14" s="16"/>
      <c r="J14" s="62"/>
      <c r="K14" s="62"/>
      <c r="L14" s="91"/>
      <c r="M14" s="89" t="s">
        <v>50</v>
      </c>
      <c r="N14" s="92"/>
      <c r="O14" s="16"/>
      <c r="Q14" s="7"/>
      <c r="R14" s="7"/>
    </row>
    <row r="15">
      <c r="A15" s="81" t="s">
        <v>51</v>
      </c>
      <c r="B15" s="5"/>
      <c r="C15" s="93" t="s">
        <v>52</v>
      </c>
      <c r="D15" s="94"/>
      <c r="E15" s="94"/>
      <c r="G15" s="61"/>
      <c r="H15" s="61"/>
      <c r="I15" s="6"/>
      <c r="J15" s="6"/>
      <c r="K15" s="6"/>
      <c r="L15" s="6"/>
      <c r="M15" s="62"/>
      <c r="N15" s="62"/>
      <c r="O15" s="6"/>
      <c r="Q15" s="86"/>
      <c r="R15" s="7"/>
    </row>
    <row r="16">
      <c r="A16" s="95" t="s">
        <v>53</v>
      </c>
      <c r="B16" s="5"/>
      <c r="C16" s="96"/>
      <c r="D16" s="96"/>
      <c r="E16" s="96"/>
      <c r="F16" s="14"/>
      <c r="G16" s="15" t="s">
        <v>54</v>
      </c>
      <c r="H16" s="12"/>
      <c r="I16" s="16"/>
      <c r="J16" s="6"/>
      <c r="K16" s="6"/>
      <c r="L16" s="6"/>
      <c r="M16" s="6"/>
      <c r="N16" s="6"/>
      <c r="O16" s="6"/>
      <c r="Q16" s="86"/>
      <c r="R16" s="7"/>
    </row>
    <row r="17" ht="25.5" customHeight="1">
      <c r="A17" s="81" t="s">
        <v>55</v>
      </c>
      <c r="B17" s="5"/>
      <c r="C17" s="37"/>
      <c r="D17" s="37"/>
      <c r="E17" s="37"/>
      <c r="F17" s="14"/>
      <c r="G17" s="25" t="s">
        <v>56</v>
      </c>
      <c r="H17" s="44">
        <v>0.025</v>
      </c>
      <c r="I17" s="16"/>
      <c r="J17" s="6"/>
      <c r="K17" s="6"/>
      <c r="L17" s="6"/>
      <c r="M17" s="6"/>
      <c r="N17" s="6"/>
      <c r="O17" s="6"/>
      <c r="Q17" s="86"/>
      <c r="R17" s="7"/>
    </row>
    <row r="18">
      <c r="A18" s="97" t="s">
        <v>57</v>
      </c>
      <c r="B18" s="5"/>
      <c r="C18" s="5"/>
      <c r="D18" s="5"/>
      <c r="E18" s="5"/>
      <c r="F18" s="14"/>
      <c r="G18" s="89" t="s">
        <v>58</v>
      </c>
      <c r="H18" s="98" t="s">
        <v>59</v>
      </c>
      <c r="I18" s="16"/>
      <c r="J18" s="6"/>
      <c r="K18" s="6"/>
      <c r="L18" s="6"/>
      <c r="M18" s="6"/>
      <c r="N18" s="6"/>
      <c r="O18" s="6"/>
      <c r="Q18" s="86"/>
    </row>
    <row r="19" ht="63.75" customHeight="1">
      <c r="B19" s="5"/>
      <c r="C19" s="5"/>
      <c r="D19" s="5"/>
      <c r="E19" s="5"/>
      <c r="G19" s="62"/>
      <c r="H19" s="62"/>
      <c r="I19" s="6"/>
      <c r="J19" s="6"/>
      <c r="K19" s="6"/>
      <c r="L19" s="6"/>
      <c r="M19" s="6"/>
      <c r="N19" s="6"/>
      <c r="O19" s="6"/>
      <c r="Q19" s="99" t="s">
        <v>60</v>
      </c>
      <c r="R19" s="99" t="s">
        <v>61</v>
      </c>
      <c r="S19" s="100"/>
    </row>
    <row r="20" ht="38.25" customHeight="1">
      <c r="B20" s="101" t="s">
        <v>62</v>
      </c>
      <c r="C20" s="101" t="s">
        <v>63</v>
      </c>
      <c r="D20" s="101" t="s">
        <v>64</v>
      </c>
      <c r="E20" s="102" t="s">
        <v>65</v>
      </c>
      <c r="G20" s="103" t="s">
        <v>66</v>
      </c>
      <c r="H20" s="103" t="s">
        <v>67</v>
      </c>
      <c r="I20" s="103" t="s">
        <v>68</v>
      </c>
      <c r="J20" s="103" t="s">
        <v>69</v>
      </c>
      <c r="K20" s="103" t="s">
        <v>70</v>
      </c>
      <c r="L20" s="103" t="s">
        <v>71</v>
      </c>
      <c r="M20" s="103" t="s">
        <v>72</v>
      </c>
      <c r="N20" s="104" t="s">
        <v>73</v>
      </c>
      <c r="O20" s="6"/>
      <c r="P20" s="105" t="s">
        <v>74</v>
      </c>
      <c r="Q20" s="106" t="s">
        <v>75</v>
      </c>
      <c r="R20" s="106" t="s">
        <v>75</v>
      </c>
      <c r="S20" s="107"/>
    </row>
    <row r="21">
      <c r="B21" s="108">
        <v>2023.0</v>
      </c>
      <c r="C21" s="109">
        <f>($D$5*12)*(1+$E$10)</f>
        <v>56964</v>
      </c>
      <c r="D21" s="109">
        <f t="shared" ref="D21:D51" si="2">K21-C21</f>
        <v>41833.92035</v>
      </c>
      <c r="E21" s="109">
        <f>H14</f>
        <v>138080</v>
      </c>
      <c r="G21" s="110">
        <f t="shared" ref="G21:G25" si="3">$K$11*12</f>
        <v>82246.92035</v>
      </c>
      <c r="H21" s="111">
        <f t="shared" ref="H21:J21" si="1">$M21*L$6</f>
        <v>6750</v>
      </c>
      <c r="I21" s="111">
        <f t="shared" si="1"/>
        <v>6750</v>
      </c>
      <c r="J21" s="111">
        <f t="shared" si="1"/>
        <v>3051</v>
      </c>
      <c r="K21" s="110">
        <f t="shared" ref="K21:K51" si="5">((G21+H21)+I21)+J21</f>
        <v>98797.92035</v>
      </c>
      <c r="L21" s="110">
        <f>'Monthly  Mortgage Calculation'!H2</f>
        <v>1276527.668</v>
      </c>
      <c r="M21" s="110">
        <f>H5</f>
        <v>1350000</v>
      </c>
      <c r="N21" s="110">
        <f t="shared" ref="N21:N51" si="6">M21-L21</f>
        <v>73472.3325</v>
      </c>
      <c r="O21" s="6"/>
      <c r="P21" s="112" t="s">
        <v>76</v>
      </c>
      <c r="Q21" s="113">
        <f t="shared" ref="Q21:Q51" si="7">E21-N21</f>
        <v>64607.6675</v>
      </c>
      <c r="R21" s="114">
        <f>(E21)-((M21-($H$17*M21))-L21)</f>
        <v>98357.6675</v>
      </c>
      <c r="S21" s="115"/>
    </row>
    <row r="22">
      <c r="B22" s="116">
        <f t="shared" ref="B22:B51" si="8">B21+1</f>
        <v>2024</v>
      </c>
      <c r="C22" s="109">
        <f t="shared" ref="C22:C25" si="9">C21*(1+C$10)</f>
        <v>58388.1</v>
      </c>
      <c r="D22" s="109">
        <f t="shared" si="2"/>
        <v>40906.35035</v>
      </c>
      <c r="E22" s="109">
        <f t="shared" ref="E22:E25" si="10">(E21)*(1+$D$10)+(1+$D$10/2)*D21</f>
        <v>192633.6772</v>
      </c>
      <c r="G22" s="110">
        <f t="shared" si="3"/>
        <v>82246.92035</v>
      </c>
      <c r="H22" s="111">
        <f t="shared" ref="H22:J22" si="4">$M22*L$6</f>
        <v>6952.5</v>
      </c>
      <c r="I22" s="111">
        <f t="shared" si="4"/>
        <v>6952.5</v>
      </c>
      <c r="J22" s="111">
        <f t="shared" si="4"/>
        <v>3142.53</v>
      </c>
      <c r="K22" s="110">
        <f t="shared" si="5"/>
        <v>99294.45035</v>
      </c>
      <c r="L22" s="110">
        <f>'Monthly  Mortgage Calculation'!E13</f>
        <v>1246869.987</v>
      </c>
      <c r="M22" s="110">
        <f t="shared" ref="M22:M26" si="12">M21*(1+O$6)</f>
        <v>1390500</v>
      </c>
      <c r="N22" s="110">
        <f t="shared" si="6"/>
        <v>143630.0131</v>
      </c>
      <c r="O22" s="6"/>
      <c r="P22" s="112" t="s">
        <v>77</v>
      </c>
      <c r="Q22" s="113">
        <f t="shared" si="7"/>
        <v>49003.6641</v>
      </c>
      <c r="R22" s="114">
        <f t="shared" ref="R22:R51" si="13">(-(E22-E$21-sum(D$21:D21))*($D$14))+E22-((M22-($H$17*M22))-L22)</f>
        <v>79314.24921</v>
      </c>
      <c r="S22" s="115"/>
    </row>
    <row r="23">
      <c r="B23" s="116">
        <f t="shared" si="8"/>
        <v>2025</v>
      </c>
      <c r="C23" s="109">
        <f t="shared" si="9"/>
        <v>59847.8025</v>
      </c>
      <c r="D23" s="109">
        <f t="shared" si="2"/>
        <v>39958.07375</v>
      </c>
      <c r="E23" s="109">
        <f t="shared" si="10"/>
        <v>250586.9757</v>
      </c>
      <c r="G23" s="110">
        <f t="shared" si="3"/>
        <v>82246.92035</v>
      </c>
      <c r="H23" s="111">
        <f t="shared" ref="H23:J23" si="11">$M23*L$6</f>
        <v>7161.075</v>
      </c>
      <c r="I23" s="111">
        <f t="shared" si="11"/>
        <v>7161.075</v>
      </c>
      <c r="J23" s="111">
        <f t="shared" si="11"/>
        <v>3236.8059</v>
      </c>
      <c r="K23" s="110">
        <f t="shared" si="5"/>
        <v>99805.87625</v>
      </c>
      <c r="L23" s="110">
        <f>'Monthly  Mortgage Calculation'!E25</f>
        <v>1215953.605</v>
      </c>
      <c r="M23" s="110">
        <f t="shared" si="12"/>
        <v>1432215</v>
      </c>
      <c r="N23" s="110">
        <f t="shared" si="6"/>
        <v>216261.3952</v>
      </c>
      <c r="O23" s="6"/>
      <c r="P23" s="112" t="s">
        <v>78</v>
      </c>
      <c r="Q23" s="113">
        <f t="shared" si="7"/>
        <v>34325.58044</v>
      </c>
      <c r="R23" s="114">
        <f t="shared" si="13"/>
        <v>59712.60869</v>
      </c>
      <c r="S23" s="115"/>
    </row>
    <row r="24">
      <c r="B24" s="116">
        <f t="shared" si="8"/>
        <v>2026</v>
      </c>
      <c r="C24" s="109">
        <f t="shared" si="9"/>
        <v>61343.99756</v>
      </c>
      <c r="D24" s="109">
        <f t="shared" si="2"/>
        <v>38988.64736</v>
      </c>
      <c r="E24" s="109">
        <f t="shared" si="10"/>
        <v>312190.3304</v>
      </c>
      <c r="G24" s="110">
        <f t="shared" si="3"/>
        <v>82246.92035</v>
      </c>
      <c r="H24" s="111">
        <f t="shared" ref="H24:J24" si="14">$M24*L$6</f>
        <v>7375.90725</v>
      </c>
      <c r="I24" s="111">
        <f t="shared" si="14"/>
        <v>7375.90725</v>
      </c>
      <c r="J24" s="111">
        <f t="shared" si="14"/>
        <v>3333.910077</v>
      </c>
      <c r="K24" s="110">
        <f t="shared" si="5"/>
        <v>100332.6449</v>
      </c>
      <c r="L24" s="110">
        <f>'Monthly  Mortgage Calculation'!E37</f>
        <v>1183725.1</v>
      </c>
      <c r="M24" s="110">
        <f t="shared" si="12"/>
        <v>1475181.45</v>
      </c>
      <c r="N24" s="110">
        <f t="shared" si="6"/>
        <v>291456.3496</v>
      </c>
      <c r="O24" s="6"/>
      <c r="P24" s="112" t="s">
        <v>79</v>
      </c>
      <c r="Q24" s="113">
        <f t="shared" si="7"/>
        <v>20733.98083</v>
      </c>
      <c r="R24" s="114">
        <f t="shared" si="13"/>
        <v>39619.32198</v>
      </c>
      <c r="S24" s="115"/>
    </row>
    <row r="25">
      <c r="B25" s="116">
        <f t="shared" si="8"/>
        <v>2027</v>
      </c>
      <c r="C25" s="109">
        <f t="shared" si="9"/>
        <v>62877.5975</v>
      </c>
      <c r="D25" s="109">
        <f t="shared" si="2"/>
        <v>37997.61916</v>
      </c>
      <c r="E25" s="109">
        <f t="shared" si="10"/>
        <v>377713.7501</v>
      </c>
      <c r="G25" s="110">
        <f t="shared" si="3"/>
        <v>82246.92035</v>
      </c>
      <c r="H25" s="111">
        <f t="shared" ref="H25:J25" si="15">$M25*L$6</f>
        <v>7597.184468</v>
      </c>
      <c r="I25" s="111">
        <f t="shared" si="15"/>
        <v>7597.184468</v>
      </c>
      <c r="J25" s="111">
        <f t="shared" si="15"/>
        <v>3433.927379</v>
      </c>
      <c r="K25" s="110">
        <f t="shared" si="5"/>
        <v>100875.2167</v>
      </c>
      <c r="L25" s="110">
        <f>'Monthly  Mortgage Calculation'!E49</f>
        <v>1150128.786</v>
      </c>
      <c r="M25" s="110">
        <f t="shared" si="12"/>
        <v>1519436.894</v>
      </c>
      <c r="N25" s="110">
        <f t="shared" si="6"/>
        <v>369308.1074</v>
      </c>
      <c r="O25" s="6"/>
      <c r="P25" s="112" t="s">
        <v>80</v>
      </c>
      <c r="Q25" s="113">
        <f t="shared" si="7"/>
        <v>8405.642709</v>
      </c>
      <c r="R25" s="114">
        <f t="shared" si="13"/>
        <v>19110.19963</v>
      </c>
      <c r="S25" s="115"/>
    </row>
    <row r="26">
      <c r="B26" s="116">
        <f t="shared" si="8"/>
        <v>2028</v>
      </c>
      <c r="C26" s="109">
        <f>((C25*(1+C$10)))*(1+E11)/(1+E10)</f>
        <v>64449.53744</v>
      </c>
      <c r="D26" s="109">
        <f t="shared" si="2"/>
        <v>41449.37549</v>
      </c>
      <c r="E26" s="109">
        <f t="shared" ref="E26:E30" si="17">(E25)*(1+$D$11)+(1+$D$11/2)*D25</f>
        <v>447448.3741</v>
      </c>
      <c r="G26" s="110">
        <f t="shared" ref="G26:G30" si="18">$K$12*12</f>
        <v>86492.66493</v>
      </c>
      <c r="H26" s="111">
        <f t="shared" ref="H26:J26" si="16">$M26*L$7</f>
        <v>7825.100002</v>
      </c>
      <c r="I26" s="111">
        <f t="shared" si="16"/>
        <v>7825.100002</v>
      </c>
      <c r="J26" s="111">
        <f t="shared" si="16"/>
        <v>3756.048001</v>
      </c>
      <c r="K26" s="110">
        <f t="shared" si="5"/>
        <v>105898.9129</v>
      </c>
      <c r="L26" s="110">
        <f>'Monthly  Mortgage Calculation'!E61</f>
        <v>1115106.611</v>
      </c>
      <c r="M26" s="110">
        <f t="shared" si="12"/>
        <v>1565020</v>
      </c>
      <c r="N26" s="110">
        <f t="shared" si="6"/>
        <v>449913.3897</v>
      </c>
      <c r="O26" s="6"/>
      <c r="P26" s="112" t="s">
        <v>81</v>
      </c>
      <c r="Q26" s="113">
        <f t="shared" si="7"/>
        <v>-2465.015651</v>
      </c>
      <c r="R26" s="114">
        <f t="shared" si="13"/>
        <v>-1728.832733</v>
      </c>
      <c r="S26" s="115"/>
    </row>
    <row r="27">
      <c r="B27" s="116">
        <f t="shared" si="8"/>
        <v>2029</v>
      </c>
      <c r="C27" s="109">
        <f t="shared" ref="C27:C31" si="20">C26*(1+C$11)</f>
        <v>66060.77588</v>
      </c>
      <c r="D27" s="109">
        <f t="shared" si="2"/>
        <v>40420.3245</v>
      </c>
      <c r="E27" s="109">
        <f t="shared" si="17"/>
        <v>526351.5945</v>
      </c>
      <c r="G27" s="110">
        <f t="shared" si="18"/>
        <v>86492.66493</v>
      </c>
      <c r="H27" s="111">
        <f t="shared" ref="H27:J27" si="19">$M27*L$7</f>
        <v>8059.853002</v>
      </c>
      <c r="I27" s="111">
        <f t="shared" si="19"/>
        <v>8059.853002</v>
      </c>
      <c r="J27" s="111">
        <f t="shared" si="19"/>
        <v>3868.729441</v>
      </c>
      <c r="K27" s="110">
        <f t="shared" si="5"/>
        <v>106481.1004</v>
      </c>
      <c r="L27" s="110">
        <f>'Monthly  Mortgage Calculation'!E73</f>
        <v>1080872.183</v>
      </c>
      <c r="M27" s="110">
        <f t="shared" ref="M27:M31" si="22">M26*(1+O$7)</f>
        <v>1611970.6</v>
      </c>
      <c r="N27" s="110">
        <f t="shared" si="6"/>
        <v>531098.4172</v>
      </c>
      <c r="O27" s="6"/>
      <c r="P27" s="112" t="s">
        <v>82</v>
      </c>
      <c r="Q27" s="113">
        <f t="shared" si="7"/>
        <v>-4746.822708</v>
      </c>
      <c r="R27" s="114">
        <f t="shared" si="13"/>
        <v>-15945.72052</v>
      </c>
      <c r="S27" s="115"/>
    </row>
    <row r="28">
      <c r="B28" s="116">
        <f t="shared" si="8"/>
        <v>2030</v>
      </c>
      <c r="C28" s="109">
        <f t="shared" si="20"/>
        <v>67712.29527</v>
      </c>
      <c r="D28" s="109">
        <f t="shared" si="2"/>
        <v>39368.45816</v>
      </c>
      <c r="E28" s="109">
        <f t="shared" si="17"/>
        <v>610496.8595</v>
      </c>
      <c r="G28" s="110">
        <f t="shared" si="18"/>
        <v>86492.66493</v>
      </c>
      <c r="H28" s="111">
        <f t="shared" ref="H28:J28" si="21">$M28*L$7</f>
        <v>8301.648592</v>
      </c>
      <c r="I28" s="111">
        <f t="shared" si="21"/>
        <v>8301.648592</v>
      </c>
      <c r="J28" s="111">
        <f t="shared" si="21"/>
        <v>3984.791324</v>
      </c>
      <c r="K28" s="110">
        <f t="shared" si="5"/>
        <v>107080.7534</v>
      </c>
      <c r="L28" s="110">
        <f>'Monthly  Mortgage Calculation'!E85</f>
        <v>1044974.784</v>
      </c>
      <c r="M28" s="110">
        <f t="shared" si="22"/>
        <v>1660329.718</v>
      </c>
      <c r="N28" s="110">
        <f t="shared" si="6"/>
        <v>615354.9343</v>
      </c>
      <c r="O28" s="6"/>
      <c r="P28" s="112" t="s">
        <v>83</v>
      </c>
      <c r="Q28" s="113">
        <f t="shared" si="7"/>
        <v>-4858.074715</v>
      </c>
      <c r="R28" s="114">
        <f t="shared" si="13"/>
        <v>-30151.72377</v>
      </c>
      <c r="S28" s="115"/>
    </row>
    <row r="29">
      <c r="B29" s="116">
        <f t="shared" si="8"/>
        <v>2031</v>
      </c>
      <c r="C29" s="109">
        <f t="shared" si="20"/>
        <v>69405.10265</v>
      </c>
      <c r="D29" s="109">
        <f t="shared" si="2"/>
        <v>38293.29344</v>
      </c>
      <c r="E29" s="109">
        <f t="shared" si="17"/>
        <v>700279.8048</v>
      </c>
      <c r="G29" s="110">
        <f t="shared" si="18"/>
        <v>86492.66493</v>
      </c>
      <c r="H29" s="111">
        <f t="shared" ref="H29:J29" si="23">$M29*L$7</f>
        <v>8550.698049</v>
      </c>
      <c r="I29" s="111">
        <f t="shared" si="23"/>
        <v>8550.698049</v>
      </c>
      <c r="J29" s="111">
        <f t="shared" si="23"/>
        <v>4104.335064</v>
      </c>
      <c r="K29" s="110">
        <f t="shared" si="5"/>
        <v>107698.3961</v>
      </c>
      <c r="L29" s="110">
        <f>'Monthly  Mortgage Calculation'!E97</f>
        <v>1007333.633</v>
      </c>
      <c r="M29" s="110">
        <f t="shared" si="22"/>
        <v>1710139.61</v>
      </c>
      <c r="N29" s="110">
        <f t="shared" si="6"/>
        <v>702805.9769</v>
      </c>
      <c r="O29" s="6"/>
      <c r="P29" s="112" t="s">
        <v>84</v>
      </c>
      <c r="Q29" s="113">
        <f t="shared" si="7"/>
        <v>-2526.172102</v>
      </c>
      <c r="R29" s="114">
        <f t="shared" si="13"/>
        <v>-44219.64435</v>
      </c>
      <c r="S29" s="115"/>
    </row>
    <row r="30">
      <c r="B30" s="116">
        <f t="shared" si="8"/>
        <v>2032</v>
      </c>
      <c r="C30" s="109">
        <f t="shared" si="20"/>
        <v>71140.23022</v>
      </c>
      <c r="D30" s="109">
        <f t="shared" si="2"/>
        <v>37194.33781</v>
      </c>
      <c r="E30" s="109">
        <f t="shared" si="17"/>
        <v>796127.2144</v>
      </c>
      <c r="G30" s="110">
        <f t="shared" si="18"/>
        <v>86492.66493</v>
      </c>
      <c r="H30" s="111">
        <f t="shared" ref="H30:J30" si="24">$M30*L$7</f>
        <v>8807.218991</v>
      </c>
      <c r="I30" s="111">
        <f t="shared" si="24"/>
        <v>8807.218991</v>
      </c>
      <c r="J30" s="111">
        <f t="shared" si="24"/>
        <v>4227.465116</v>
      </c>
      <c r="K30" s="110">
        <f t="shared" si="5"/>
        <v>108334.568</v>
      </c>
      <c r="L30" s="110">
        <f>'Monthly  Mortgage Calculation'!E109</f>
        <v>967864.0253</v>
      </c>
      <c r="M30" s="110">
        <f t="shared" si="22"/>
        <v>1761443.798</v>
      </c>
      <c r="N30" s="110">
        <f t="shared" si="6"/>
        <v>793579.7728</v>
      </c>
      <c r="O30" s="6"/>
      <c r="P30" s="112" t="s">
        <v>85</v>
      </c>
      <c r="Q30" s="113">
        <f t="shared" si="7"/>
        <v>2547.441513</v>
      </c>
      <c r="R30" s="114">
        <f t="shared" si="13"/>
        <v>-58007.36667</v>
      </c>
      <c r="S30" s="115"/>
    </row>
    <row r="31">
      <c r="B31" s="116">
        <f t="shared" si="8"/>
        <v>2033</v>
      </c>
      <c r="C31" s="109">
        <f t="shared" si="20"/>
        <v>72918.73598</v>
      </c>
      <c r="D31" s="109">
        <f t="shared" si="2"/>
        <v>36252.51785</v>
      </c>
      <c r="E31" s="109">
        <f t="shared" ref="E31:E51" si="26">(E30)*(1+$D$12)+(1+$D$12/2)*D30</f>
        <v>898499.5028</v>
      </c>
      <c r="G31" s="110">
        <f t="shared" ref="G31:G51" si="27">IF((((B31-$B$21)+1)&gt;$H$7),0,($K$13*12))</f>
        <v>86492.66493</v>
      </c>
      <c r="H31" s="111">
        <f t="shared" ref="H31:J31" si="25">$M31*L$8</f>
        <v>9071.435561</v>
      </c>
      <c r="I31" s="111">
        <f t="shared" si="25"/>
        <v>9071.435561</v>
      </c>
      <c r="J31" s="111">
        <f t="shared" si="25"/>
        <v>4535.71778</v>
      </c>
      <c r="K31" s="110">
        <f t="shared" si="5"/>
        <v>109171.2538</v>
      </c>
      <c r="L31" s="110">
        <f>'Monthly  Mortgage Calculation'!E121</f>
        <v>926477.142</v>
      </c>
      <c r="M31" s="110">
        <f t="shared" si="22"/>
        <v>1814287.112</v>
      </c>
      <c r="N31" s="110">
        <f t="shared" si="6"/>
        <v>887809.9701</v>
      </c>
      <c r="O31" s="6"/>
      <c r="P31" s="112" t="s">
        <v>86</v>
      </c>
      <c r="Q31" s="113">
        <f t="shared" si="7"/>
        <v>10689.53273</v>
      </c>
      <c r="R31" s="114">
        <f t="shared" si="13"/>
        <v>-71356.47534</v>
      </c>
      <c r="S31" s="115"/>
    </row>
    <row r="32">
      <c r="B32" s="116">
        <f t="shared" si="8"/>
        <v>2034</v>
      </c>
      <c r="C32" s="109">
        <f>((C31*(1+C$12)))</f>
        <v>74741.70437</v>
      </c>
      <c r="D32" s="109">
        <f t="shared" si="2"/>
        <v>35109.90712</v>
      </c>
      <c r="E32" s="109">
        <f t="shared" si="26"/>
        <v>1008082.082</v>
      </c>
      <c r="G32" s="110">
        <f t="shared" si="27"/>
        <v>86492.66493</v>
      </c>
      <c r="H32" s="111">
        <f t="shared" ref="H32:J32" si="28">$M32*L$8</f>
        <v>9343.578627</v>
      </c>
      <c r="I32" s="111">
        <f t="shared" si="28"/>
        <v>9343.578627</v>
      </c>
      <c r="J32" s="111">
        <f t="shared" si="28"/>
        <v>4671.789314</v>
      </c>
      <c r="K32" s="110">
        <f t="shared" si="5"/>
        <v>109851.6115</v>
      </c>
      <c r="L32" s="110">
        <f>'Monthly  Mortgage Calculation'!E133</f>
        <v>883079.8495</v>
      </c>
      <c r="M32" s="110">
        <f t="shared" ref="M32:M51" si="30">M31*(1+O$8)</f>
        <v>1868715.725</v>
      </c>
      <c r="N32" s="110">
        <f t="shared" si="6"/>
        <v>985635.876</v>
      </c>
      <c r="O32" s="6"/>
      <c r="P32" s="112" t="s">
        <v>87</v>
      </c>
      <c r="Q32" s="113">
        <f t="shared" si="7"/>
        <v>22446.20561</v>
      </c>
      <c r="R32" s="114">
        <f t="shared" si="13"/>
        <v>-83904.60845</v>
      </c>
      <c r="S32" s="115"/>
    </row>
    <row r="33">
      <c r="B33" s="116">
        <f t="shared" si="8"/>
        <v>2035</v>
      </c>
      <c r="C33" s="109">
        <f t="shared" ref="C33:C51" si="31">C32*(1+C$12)</f>
        <v>76610.24698</v>
      </c>
      <c r="D33" s="109">
        <f t="shared" si="2"/>
        <v>33942.13291</v>
      </c>
      <c r="E33" s="109">
        <f t="shared" si="26"/>
        <v>1125242.952</v>
      </c>
      <c r="G33" s="110">
        <f t="shared" si="27"/>
        <v>86492.66493</v>
      </c>
      <c r="H33" s="111">
        <f t="shared" ref="H33:J33" si="29">$M33*L$8</f>
        <v>9623.885986</v>
      </c>
      <c r="I33" s="111">
        <f t="shared" si="29"/>
        <v>9623.885986</v>
      </c>
      <c r="J33" s="111">
        <f t="shared" si="29"/>
        <v>4811.942993</v>
      </c>
      <c r="K33" s="110">
        <f t="shared" si="5"/>
        <v>110552.3799</v>
      </c>
      <c r="L33" s="110">
        <f>'Monthly  Mortgage Calculation'!E145</f>
        <v>837574.49</v>
      </c>
      <c r="M33" s="110">
        <f t="shared" si="30"/>
        <v>1924777.197</v>
      </c>
      <c r="N33" s="110">
        <f t="shared" si="6"/>
        <v>1087202.707</v>
      </c>
      <c r="O33" s="6"/>
      <c r="P33" s="112" t="s">
        <v>88</v>
      </c>
      <c r="Q33" s="113">
        <f t="shared" si="7"/>
        <v>38040.24434</v>
      </c>
      <c r="R33" s="114">
        <f t="shared" si="13"/>
        <v>-95626.8699</v>
      </c>
      <c r="S33" s="115"/>
    </row>
    <row r="34">
      <c r="B34" s="116">
        <f t="shared" si="8"/>
        <v>2036</v>
      </c>
      <c r="C34" s="109">
        <f t="shared" si="31"/>
        <v>78525.50316</v>
      </c>
      <c r="D34" s="109">
        <f t="shared" si="2"/>
        <v>32748.66818</v>
      </c>
      <c r="E34" s="109">
        <f t="shared" si="26"/>
        <v>1250562.206</v>
      </c>
      <c r="G34" s="110">
        <f t="shared" si="27"/>
        <v>86492.66493</v>
      </c>
      <c r="H34" s="111">
        <f t="shared" ref="H34:J34" si="32">$M34*L$8</f>
        <v>9912.602566</v>
      </c>
      <c r="I34" s="111">
        <f t="shared" si="32"/>
        <v>9912.602566</v>
      </c>
      <c r="J34" s="111">
        <f t="shared" si="32"/>
        <v>4956.301283</v>
      </c>
      <c r="K34" s="110">
        <f t="shared" si="5"/>
        <v>111274.1713</v>
      </c>
      <c r="L34" s="110">
        <f>'Monthly  Mortgage Calculation'!E157</f>
        <v>789858.6623</v>
      </c>
      <c r="M34" s="110">
        <f t="shared" si="30"/>
        <v>1982520.513</v>
      </c>
      <c r="N34" s="110">
        <f t="shared" si="6"/>
        <v>1192661.851</v>
      </c>
      <c r="O34" s="6"/>
      <c r="P34" s="112" t="s">
        <v>89</v>
      </c>
      <c r="Q34" s="113">
        <f t="shared" si="7"/>
        <v>57900.355</v>
      </c>
      <c r="R34" s="114">
        <f t="shared" si="13"/>
        <v>-106305.1689</v>
      </c>
      <c r="S34" s="115"/>
    </row>
    <row r="35">
      <c r="B35" s="116">
        <f t="shared" si="8"/>
        <v>2037</v>
      </c>
      <c r="C35" s="109">
        <f t="shared" si="31"/>
        <v>80488.64074</v>
      </c>
      <c r="D35" s="109">
        <f t="shared" si="2"/>
        <v>31528.9758</v>
      </c>
      <c r="E35" s="109">
        <f t="shared" si="26"/>
        <v>1384665.797</v>
      </c>
      <c r="G35" s="110">
        <f t="shared" si="27"/>
        <v>86492.66493</v>
      </c>
      <c r="H35" s="111">
        <f t="shared" ref="H35:J35" si="33">$M35*L$8</f>
        <v>10209.98064</v>
      </c>
      <c r="I35" s="111">
        <f t="shared" si="33"/>
        <v>10209.98064</v>
      </c>
      <c r="J35" s="111">
        <f t="shared" si="33"/>
        <v>5104.990321</v>
      </c>
      <c r="K35" s="110">
        <f t="shared" si="5"/>
        <v>112017.6165</v>
      </c>
      <c r="L35" s="110">
        <f>'Monthly  Mortgage Calculation'!E169</f>
        <v>739824.9904</v>
      </c>
      <c r="M35" s="110">
        <f t="shared" si="30"/>
        <v>2041996.129</v>
      </c>
      <c r="N35" s="110">
        <f t="shared" si="6"/>
        <v>1302171.138</v>
      </c>
      <c r="O35" s="6"/>
      <c r="P35" s="112" t="s">
        <v>90</v>
      </c>
      <c r="Q35" s="113">
        <f t="shared" si="7"/>
        <v>82494.65917</v>
      </c>
      <c r="R35" s="114">
        <f t="shared" si="13"/>
        <v>-115698.1974</v>
      </c>
      <c r="S35" s="115"/>
    </row>
    <row r="36">
      <c r="B36" s="116">
        <f t="shared" si="8"/>
        <v>2038</v>
      </c>
      <c r="C36" s="109">
        <f t="shared" si="31"/>
        <v>82500.85676</v>
      </c>
      <c r="D36" s="109">
        <f t="shared" si="2"/>
        <v>30282.50833</v>
      </c>
      <c r="E36" s="109">
        <f t="shared" si="26"/>
        <v>1528229.196</v>
      </c>
      <c r="G36" s="110">
        <f t="shared" si="27"/>
        <v>86492.66493</v>
      </c>
      <c r="H36" s="111">
        <f t="shared" ref="H36:J36" si="34">$M36*L$8</f>
        <v>10516.28006</v>
      </c>
      <c r="I36" s="111">
        <f t="shared" si="34"/>
        <v>10516.28006</v>
      </c>
      <c r="J36" s="111">
        <f t="shared" si="34"/>
        <v>5258.140031</v>
      </c>
      <c r="K36" s="110">
        <f t="shared" si="5"/>
        <v>112783.3651</v>
      </c>
      <c r="L36" s="110">
        <f>'Monthly  Mortgage Calculation'!E181</f>
        <v>687360.883</v>
      </c>
      <c r="M36" s="110">
        <f t="shared" si="30"/>
        <v>2103256.012</v>
      </c>
      <c r="N36" s="110">
        <f t="shared" si="6"/>
        <v>1415895.129</v>
      </c>
      <c r="O36" s="6"/>
      <c r="P36" s="112" t="s">
        <v>91</v>
      </c>
      <c r="Q36" s="113">
        <f t="shared" si="7"/>
        <v>112334.0665</v>
      </c>
      <c r="R36" s="114">
        <f t="shared" si="13"/>
        <v>-123539.341</v>
      </c>
      <c r="S36" s="115"/>
    </row>
    <row r="37">
      <c r="B37" s="116">
        <f t="shared" si="8"/>
        <v>2039</v>
      </c>
      <c r="C37" s="109">
        <f t="shared" si="31"/>
        <v>84563.37818</v>
      </c>
      <c r="D37" s="109">
        <f t="shared" si="2"/>
        <v>29008.70791</v>
      </c>
      <c r="E37" s="109">
        <f t="shared" si="26"/>
        <v>1681981.34</v>
      </c>
      <c r="G37" s="110">
        <f t="shared" si="27"/>
        <v>86492.66493</v>
      </c>
      <c r="H37" s="111">
        <f t="shared" ref="H37:J37" si="35">$M37*L$8</f>
        <v>10831.76846</v>
      </c>
      <c r="I37" s="111">
        <f t="shared" si="35"/>
        <v>10831.76846</v>
      </c>
      <c r="J37" s="111">
        <f t="shared" si="35"/>
        <v>5415.884232</v>
      </c>
      <c r="K37" s="110">
        <f t="shared" si="5"/>
        <v>113572.0861</v>
      </c>
      <c r="L37" s="110">
        <f>'Monthly  Mortgage Calculation'!E193</f>
        <v>632348.279</v>
      </c>
      <c r="M37" s="110">
        <f t="shared" si="30"/>
        <v>2166353.693</v>
      </c>
      <c r="N37" s="110">
        <f t="shared" si="6"/>
        <v>1534005.414</v>
      </c>
      <c r="O37" s="6"/>
      <c r="P37" s="112" t="s">
        <v>92</v>
      </c>
      <c r="Q37" s="113">
        <f t="shared" si="7"/>
        <v>147975.9265</v>
      </c>
      <c r="R37" s="114">
        <f t="shared" si="13"/>
        <v>-129534.4116</v>
      </c>
      <c r="S37" s="115"/>
    </row>
    <row r="38">
      <c r="B38" s="116">
        <f t="shared" si="8"/>
        <v>2040</v>
      </c>
      <c r="C38" s="109">
        <f t="shared" si="31"/>
        <v>86677.46263</v>
      </c>
      <c r="D38" s="109">
        <f t="shared" si="2"/>
        <v>27707.00609</v>
      </c>
      <c r="E38" s="109">
        <f t="shared" si="26"/>
        <v>1846708.904</v>
      </c>
      <c r="G38" s="110">
        <f t="shared" si="27"/>
        <v>86492.66493</v>
      </c>
      <c r="H38" s="111">
        <f t="shared" ref="H38:J38" si="36">$M38*L$8</f>
        <v>11156.72152</v>
      </c>
      <c r="I38" s="111">
        <f t="shared" si="36"/>
        <v>11156.72152</v>
      </c>
      <c r="J38" s="111">
        <f t="shared" si="36"/>
        <v>5578.360759</v>
      </c>
      <c r="K38" s="110">
        <f t="shared" si="5"/>
        <v>114384.4687</v>
      </c>
      <c r="L38" s="110">
        <f>'Monthly  Mortgage Calculation'!E205</f>
        <v>574663.3828</v>
      </c>
      <c r="M38" s="110">
        <f t="shared" si="30"/>
        <v>2231344.304</v>
      </c>
      <c r="N38" s="110">
        <f t="shared" si="6"/>
        <v>1656680.921</v>
      </c>
      <c r="O38" s="6"/>
      <c r="P38" s="112" t="s">
        <v>93</v>
      </c>
      <c r="Q38" s="113">
        <f t="shared" si="7"/>
        <v>190027.9829</v>
      </c>
      <c r="R38" s="114">
        <f t="shared" si="13"/>
        <v>-133359.1893</v>
      </c>
      <c r="S38" s="115"/>
    </row>
    <row r="39">
      <c r="B39" s="116">
        <f t="shared" si="8"/>
        <v>2041</v>
      </c>
      <c r="C39" s="109">
        <f t="shared" si="31"/>
        <v>88844.3992</v>
      </c>
      <c r="D39" s="109">
        <f t="shared" si="2"/>
        <v>26376.82364</v>
      </c>
      <c r="E39" s="109">
        <f t="shared" si="26"/>
        <v>2023260.902</v>
      </c>
      <c r="G39" s="110">
        <f t="shared" si="27"/>
        <v>86492.66493</v>
      </c>
      <c r="H39" s="111">
        <f t="shared" ref="H39:J39" si="37">$M39*L$8</f>
        <v>11491.42316</v>
      </c>
      <c r="I39" s="111">
        <f t="shared" si="37"/>
        <v>11491.42316</v>
      </c>
      <c r="J39" s="111">
        <f t="shared" si="37"/>
        <v>5745.711582</v>
      </c>
      <c r="K39" s="110">
        <f t="shared" si="5"/>
        <v>115221.2228</v>
      </c>
      <c r="L39" s="110">
        <f>'Monthly  Mortgage Calculation'!E217</f>
        <v>514176.3851</v>
      </c>
      <c r="M39" s="110">
        <f t="shared" si="30"/>
        <v>2298284.633</v>
      </c>
      <c r="N39" s="110">
        <f t="shared" si="6"/>
        <v>1784108.248</v>
      </c>
      <c r="O39" s="6"/>
      <c r="P39" s="112" t="s">
        <v>94</v>
      </c>
      <c r="Q39" s="113">
        <f t="shared" si="7"/>
        <v>239152.6547</v>
      </c>
      <c r="R39" s="114">
        <f t="shared" si="13"/>
        <v>-134656.7567</v>
      </c>
      <c r="S39" s="115"/>
    </row>
    <row r="40">
      <c r="B40" s="116">
        <f t="shared" si="8"/>
        <v>2042</v>
      </c>
      <c r="C40" s="109">
        <f t="shared" si="31"/>
        <v>91065.50918</v>
      </c>
      <c r="D40" s="109">
        <f t="shared" si="2"/>
        <v>25017.5704</v>
      </c>
      <c r="E40" s="109">
        <f t="shared" si="26"/>
        <v>2212553.671</v>
      </c>
      <c r="G40" s="110">
        <f t="shared" si="27"/>
        <v>86492.66493</v>
      </c>
      <c r="H40" s="111">
        <f t="shared" ref="H40:J40" si="38">$M40*L$8</f>
        <v>11836.16586</v>
      </c>
      <c r="I40" s="111">
        <f t="shared" si="38"/>
        <v>11836.16586</v>
      </c>
      <c r="J40" s="111">
        <f t="shared" si="38"/>
        <v>5918.082929</v>
      </c>
      <c r="K40" s="110">
        <f t="shared" si="5"/>
        <v>116083.0796</v>
      </c>
      <c r="L40" s="110">
        <f>'Monthly  Mortgage Calculation'!E229</f>
        <v>450751.171</v>
      </c>
      <c r="M40" s="110">
        <f t="shared" si="30"/>
        <v>2367233.172</v>
      </c>
      <c r="N40" s="110">
        <f t="shared" si="6"/>
        <v>1916482.001</v>
      </c>
      <c r="O40" s="6"/>
      <c r="P40" s="112" t="s">
        <v>95</v>
      </c>
      <c r="Q40" s="113">
        <f t="shared" si="7"/>
        <v>296071.6704</v>
      </c>
      <c r="R40" s="114">
        <f t="shared" si="13"/>
        <v>-133034.6083</v>
      </c>
      <c r="S40" s="115"/>
    </row>
    <row r="41">
      <c r="B41" s="116">
        <f t="shared" si="8"/>
        <v>2043</v>
      </c>
      <c r="C41" s="109">
        <f t="shared" si="31"/>
        <v>93342.1469</v>
      </c>
      <c r="D41" s="109">
        <f t="shared" si="2"/>
        <v>23628.64511</v>
      </c>
      <c r="E41" s="109">
        <f t="shared" si="26"/>
        <v>2415576.238</v>
      </c>
      <c r="G41" s="110">
        <f t="shared" si="27"/>
        <v>86492.66493</v>
      </c>
      <c r="H41" s="111">
        <f t="shared" ref="H41:J41" si="39">$M41*L$8</f>
        <v>12191.25083</v>
      </c>
      <c r="I41" s="111">
        <f t="shared" si="39"/>
        <v>12191.25083</v>
      </c>
      <c r="J41" s="111">
        <f t="shared" si="39"/>
        <v>6095.625417</v>
      </c>
      <c r="K41" s="110">
        <f t="shared" si="5"/>
        <v>116970.792</v>
      </c>
      <c r="L41" s="110">
        <f>'Monthly  Mortgage Calculation'!E241</f>
        <v>384245.0137</v>
      </c>
      <c r="M41" s="110">
        <f t="shared" si="30"/>
        <v>2438250.167</v>
      </c>
      <c r="N41" s="110">
        <f t="shared" si="6"/>
        <v>2054005.153</v>
      </c>
      <c r="O41" s="6"/>
      <c r="P41" s="112" t="s">
        <v>96</v>
      </c>
      <c r="Q41" s="113">
        <f t="shared" si="7"/>
        <v>361571.0848</v>
      </c>
      <c r="R41" s="114">
        <f t="shared" si="13"/>
        <v>-128061.5178</v>
      </c>
      <c r="S41" s="115"/>
    </row>
    <row r="42">
      <c r="B42" s="116">
        <f t="shared" si="8"/>
        <v>2044</v>
      </c>
      <c r="C42" s="109">
        <f t="shared" si="31"/>
        <v>95675.70058</v>
      </c>
      <c r="D42" s="109">
        <f t="shared" si="2"/>
        <v>22209.43525</v>
      </c>
      <c r="E42" s="109">
        <f t="shared" si="26"/>
        <v>2633396.128</v>
      </c>
      <c r="G42" s="110">
        <f t="shared" si="27"/>
        <v>86492.66493</v>
      </c>
      <c r="H42" s="111">
        <f t="shared" ref="H42:J42" si="40">$M42*L$8</f>
        <v>12556.98836</v>
      </c>
      <c r="I42" s="111">
        <f t="shared" si="40"/>
        <v>12556.98836</v>
      </c>
      <c r="J42" s="111">
        <f t="shared" si="40"/>
        <v>6278.49418</v>
      </c>
      <c r="K42" s="110">
        <f t="shared" si="5"/>
        <v>117885.1358</v>
      </c>
      <c r="L42" s="110">
        <f>'Monthly  Mortgage Calculation'!E253</f>
        <v>314508.2532</v>
      </c>
      <c r="M42" s="110">
        <f t="shared" si="30"/>
        <v>2511397.672</v>
      </c>
      <c r="N42" s="110">
        <f t="shared" si="6"/>
        <v>2196889.419</v>
      </c>
      <c r="O42" s="6"/>
      <c r="P42" s="112" t="s">
        <v>97</v>
      </c>
      <c r="Q42" s="113">
        <f t="shared" si="7"/>
        <v>436506.7094</v>
      </c>
      <c r="R42" s="114">
        <f t="shared" si="13"/>
        <v>-119264.1413</v>
      </c>
      <c r="S42" s="115"/>
    </row>
    <row r="43">
      <c r="B43" s="116">
        <f t="shared" si="8"/>
        <v>2045</v>
      </c>
      <c r="C43" s="109">
        <f t="shared" si="31"/>
        <v>98067.59309</v>
      </c>
      <c r="D43" s="109">
        <f t="shared" si="2"/>
        <v>20759.31686</v>
      </c>
      <c r="E43" s="109">
        <f t="shared" si="26"/>
        <v>2867165.631</v>
      </c>
      <c r="G43" s="110">
        <f t="shared" si="27"/>
        <v>86492.66493</v>
      </c>
      <c r="H43" s="111">
        <f t="shared" ref="H43:J43" si="41">$M43*L$8</f>
        <v>12933.69801</v>
      </c>
      <c r="I43" s="111">
        <f t="shared" si="41"/>
        <v>12933.69801</v>
      </c>
      <c r="J43" s="111">
        <f t="shared" si="41"/>
        <v>6466.849005</v>
      </c>
      <c r="K43" s="110">
        <f t="shared" si="5"/>
        <v>118826.91</v>
      </c>
      <c r="L43" s="110">
        <f>'Monthly  Mortgage Calculation'!E265</f>
        <v>241383.96</v>
      </c>
      <c r="M43" s="110">
        <f t="shared" si="30"/>
        <v>2586739.602</v>
      </c>
      <c r="N43" s="110">
        <f t="shared" si="6"/>
        <v>2345355.642</v>
      </c>
      <c r="O43" s="6"/>
      <c r="P43" s="112" t="s">
        <v>98</v>
      </c>
      <c r="Q43" s="113">
        <f t="shared" si="7"/>
        <v>521809.9888</v>
      </c>
      <c r="R43" s="114">
        <f t="shared" si="13"/>
        <v>-106123.3373</v>
      </c>
      <c r="S43" s="115"/>
    </row>
    <row r="44">
      <c r="B44" s="116">
        <f t="shared" si="8"/>
        <v>2046</v>
      </c>
      <c r="C44" s="109">
        <f t="shared" si="31"/>
        <v>100519.2829</v>
      </c>
      <c r="D44" s="109">
        <f t="shared" si="2"/>
        <v>19277.65438</v>
      </c>
      <c r="E44" s="109">
        <f t="shared" si="26"/>
        <v>3118128.571</v>
      </c>
      <c r="G44" s="110">
        <f t="shared" si="27"/>
        <v>86492.66493</v>
      </c>
      <c r="H44" s="111">
        <f t="shared" ref="H44:J44" si="42">$M44*L$8</f>
        <v>13321.70895</v>
      </c>
      <c r="I44" s="111">
        <f t="shared" si="42"/>
        <v>13321.70895</v>
      </c>
      <c r="J44" s="111">
        <f t="shared" si="42"/>
        <v>6660.854475</v>
      </c>
      <c r="K44" s="110">
        <f t="shared" si="5"/>
        <v>119796.9373</v>
      </c>
      <c r="L44" s="110">
        <f>'Monthly  Mortgage Calculation'!E277</f>
        <v>164707.581</v>
      </c>
      <c r="M44" s="110">
        <f t="shared" si="30"/>
        <v>2664341.79</v>
      </c>
      <c r="N44" s="110">
        <f t="shared" si="6"/>
        <v>2499634.209</v>
      </c>
      <c r="O44" s="6"/>
      <c r="P44" s="112" t="s">
        <v>99</v>
      </c>
      <c r="Q44" s="113">
        <f t="shared" si="7"/>
        <v>618494.3618</v>
      </c>
      <c r="R44" s="114">
        <f t="shared" si="13"/>
        <v>-88070.17771</v>
      </c>
      <c r="S44" s="115"/>
    </row>
    <row r="45">
      <c r="B45" s="116">
        <f t="shared" si="8"/>
        <v>2047</v>
      </c>
      <c r="C45" s="109">
        <f t="shared" si="31"/>
        <v>103032.265</v>
      </c>
      <c r="D45" s="109">
        <f t="shared" si="2"/>
        <v>17763.80048</v>
      </c>
      <c r="E45" s="109">
        <f t="shared" si="26"/>
        <v>3387627.617</v>
      </c>
      <c r="G45" s="110">
        <f t="shared" si="27"/>
        <v>86492.66493</v>
      </c>
      <c r="H45" s="111">
        <f t="shared" ref="H45:J45" si="43">$M45*L$8</f>
        <v>13721.36022</v>
      </c>
      <c r="I45" s="111">
        <f t="shared" si="43"/>
        <v>13721.36022</v>
      </c>
      <c r="J45" s="111">
        <f t="shared" si="43"/>
        <v>6860.680109</v>
      </c>
      <c r="K45" s="110">
        <f t="shared" si="5"/>
        <v>120796.0655</v>
      </c>
      <c r="L45" s="110">
        <f>'Monthly  Mortgage Calculation'!E289</f>
        <v>84306.57025</v>
      </c>
      <c r="M45" s="110">
        <f t="shared" si="30"/>
        <v>2744272.044</v>
      </c>
      <c r="N45" s="110">
        <f t="shared" si="6"/>
        <v>2659965.473</v>
      </c>
      <c r="O45" s="6"/>
      <c r="P45" s="112" t="s">
        <v>100</v>
      </c>
      <c r="Q45" s="113">
        <f t="shared" si="7"/>
        <v>727662.1436</v>
      </c>
      <c r="R45" s="114">
        <f t="shared" si="13"/>
        <v>-64481.62674</v>
      </c>
      <c r="S45" s="115"/>
    </row>
    <row r="46">
      <c r="B46" s="116">
        <f t="shared" si="8"/>
        <v>2048</v>
      </c>
      <c r="C46" s="109">
        <f t="shared" si="31"/>
        <v>105608.0716</v>
      </c>
      <c r="D46" s="109">
        <f t="shared" si="2"/>
        <v>-70275.56905</v>
      </c>
      <c r="E46" s="109">
        <f t="shared" si="26"/>
        <v>3677112.179</v>
      </c>
      <c r="G46" s="110">
        <f t="shared" si="27"/>
        <v>0</v>
      </c>
      <c r="H46" s="111">
        <f t="shared" ref="H46:J46" si="44">$M46*L$8</f>
        <v>14133.00103</v>
      </c>
      <c r="I46" s="111">
        <f t="shared" si="44"/>
        <v>14133.00103</v>
      </c>
      <c r="J46" s="111">
        <f t="shared" si="44"/>
        <v>7066.500513</v>
      </c>
      <c r="K46" s="110">
        <f t="shared" si="5"/>
        <v>35332.50256</v>
      </c>
      <c r="L46" s="110">
        <f>'Monthly  Mortgage Calculation'!E301</f>
        <v>0.0000000008158167475</v>
      </c>
      <c r="M46" s="110">
        <f t="shared" si="30"/>
        <v>2826600.205</v>
      </c>
      <c r="N46" s="110">
        <f t="shared" si="6"/>
        <v>2826600.205</v>
      </c>
      <c r="O46" s="6"/>
      <c r="P46" s="112" t="s">
        <v>101</v>
      </c>
      <c r="Q46" s="113">
        <f t="shared" si="7"/>
        <v>850511.9739</v>
      </c>
      <c r="R46" s="114">
        <f t="shared" si="13"/>
        <v>-34675.85888</v>
      </c>
      <c r="S46" s="115"/>
    </row>
    <row r="47">
      <c r="B47" s="116">
        <f t="shared" si="8"/>
        <v>2049</v>
      </c>
      <c r="C47" s="109">
        <f t="shared" si="31"/>
        <v>108248.2734</v>
      </c>
      <c r="D47" s="109">
        <f t="shared" si="2"/>
        <v>-71855.79577</v>
      </c>
      <c r="E47" s="109">
        <f t="shared" si="26"/>
        <v>3898194.561</v>
      </c>
      <c r="G47" s="110">
        <f t="shared" si="27"/>
        <v>0</v>
      </c>
      <c r="H47" s="111">
        <f t="shared" ref="H47:J47" si="45">$M47*L$8</f>
        <v>14556.99106</v>
      </c>
      <c r="I47" s="111">
        <f t="shared" si="45"/>
        <v>14556.99106</v>
      </c>
      <c r="J47" s="111">
        <f t="shared" si="45"/>
        <v>7278.495528</v>
      </c>
      <c r="K47" s="110">
        <f t="shared" si="5"/>
        <v>36392.47764</v>
      </c>
      <c r="L47" s="110">
        <f>'Monthly  Mortgage Calculation'!E313</f>
        <v>0</v>
      </c>
      <c r="M47" s="110">
        <f t="shared" si="30"/>
        <v>2911398.211</v>
      </c>
      <c r="N47" s="110">
        <f t="shared" si="6"/>
        <v>2911398.211</v>
      </c>
      <c r="O47" s="6"/>
      <c r="P47" s="112" t="s">
        <v>102</v>
      </c>
      <c r="Q47" s="113">
        <f t="shared" si="7"/>
        <v>986796.3502</v>
      </c>
      <c r="R47" s="114">
        <f t="shared" si="13"/>
        <v>1753.184577</v>
      </c>
      <c r="S47" s="115"/>
    </row>
    <row r="48">
      <c r="B48" s="116">
        <f t="shared" si="8"/>
        <v>2050</v>
      </c>
      <c r="C48" s="109">
        <f t="shared" si="31"/>
        <v>110954.4802</v>
      </c>
      <c r="D48" s="109">
        <f t="shared" si="2"/>
        <v>-73470.22827</v>
      </c>
      <c r="E48" s="109">
        <f t="shared" si="26"/>
        <v>4135320.099</v>
      </c>
      <c r="G48" s="110">
        <f t="shared" si="27"/>
        <v>0</v>
      </c>
      <c r="H48" s="111">
        <f t="shared" ref="H48:J48" si="46">$M48*L$8</f>
        <v>14993.70079</v>
      </c>
      <c r="I48" s="111">
        <f t="shared" si="46"/>
        <v>14993.70079</v>
      </c>
      <c r="J48" s="111">
        <f t="shared" si="46"/>
        <v>7496.850394</v>
      </c>
      <c r="K48" s="110">
        <f t="shared" si="5"/>
        <v>37484.25197</v>
      </c>
      <c r="L48" s="110">
        <f>'Monthly  Mortgage Calculation'!E325</f>
        <v>0</v>
      </c>
      <c r="M48" s="110">
        <f t="shared" si="30"/>
        <v>2998740.158</v>
      </c>
      <c r="N48" s="110">
        <f t="shared" si="6"/>
        <v>2998740.158</v>
      </c>
      <c r="O48" s="6"/>
      <c r="P48" s="112" t="s">
        <v>103</v>
      </c>
      <c r="Q48" s="113">
        <f t="shared" si="7"/>
        <v>1136579.941</v>
      </c>
      <c r="R48" s="114">
        <f t="shared" si="13"/>
        <v>45576.85764</v>
      </c>
      <c r="S48" s="115"/>
    </row>
    <row r="49">
      <c r="B49" s="116">
        <f t="shared" si="8"/>
        <v>2051</v>
      </c>
      <c r="C49" s="109">
        <f t="shared" si="31"/>
        <v>113728.3422</v>
      </c>
      <c r="D49" s="109">
        <f t="shared" si="2"/>
        <v>-75119.56272</v>
      </c>
      <c r="E49" s="109">
        <f t="shared" si="26"/>
        <v>4389736.669</v>
      </c>
      <c r="G49" s="110">
        <f t="shared" si="27"/>
        <v>0</v>
      </c>
      <c r="H49" s="111">
        <f t="shared" ref="H49:J49" si="47">$M49*L$8</f>
        <v>15443.51181</v>
      </c>
      <c r="I49" s="111">
        <f t="shared" si="47"/>
        <v>15443.51181</v>
      </c>
      <c r="J49" s="111">
        <f t="shared" si="47"/>
        <v>7721.755906</v>
      </c>
      <c r="K49" s="110">
        <f t="shared" si="5"/>
        <v>38608.77953</v>
      </c>
      <c r="L49" s="110">
        <f>'Monthly  Mortgage Calculation'!E337</f>
        <v>0</v>
      </c>
      <c r="M49" s="110">
        <f t="shared" si="30"/>
        <v>3088702.362</v>
      </c>
      <c r="N49" s="110">
        <f t="shared" si="6"/>
        <v>3088702.362</v>
      </c>
      <c r="O49" s="6"/>
      <c r="P49" s="112" t="s">
        <v>104</v>
      </c>
      <c r="Q49" s="113">
        <f t="shared" si="7"/>
        <v>1301034.307</v>
      </c>
      <c r="R49" s="114">
        <f t="shared" si="13"/>
        <v>97519.89895</v>
      </c>
      <c r="S49" s="115"/>
    </row>
    <row r="50">
      <c r="B50" s="116">
        <f t="shared" si="8"/>
        <v>2052</v>
      </c>
      <c r="C50" s="109">
        <f t="shared" si="31"/>
        <v>116571.5508</v>
      </c>
      <c r="D50" s="109">
        <f t="shared" si="2"/>
        <v>-76804.50789</v>
      </c>
      <c r="E50" s="109">
        <f t="shared" si="26"/>
        <v>4662791.258</v>
      </c>
      <c r="G50" s="110">
        <f t="shared" si="27"/>
        <v>0</v>
      </c>
      <c r="H50" s="111">
        <f t="shared" ref="H50:J50" si="48">$M50*L$8</f>
        <v>15906.81717</v>
      </c>
      <c r="I50" s="111">
        <f t="shared" si="48"/>
        <v>15906.81717</v>
      </c>
      <c r="J50" s="111">
        <f t="shared" si="48"/>
        <v>7953.408583</v>
      </c>
      <c r="K50" s="110">
        <f t="shared" si="5"/>
        <v>39767.04291</v>
      </c>
      <c r="L50" s="110">
        <f>'Monthly  Mortgage Calculation'!E349</f>
        <v>0</v>
      </c>
      <c r="M50" s="110">
        <f t="shared" si="30"/>
        <v>3181363.433</v>
      </c>
      <c r="N50" s="110">
        <f t="shared" si="6"/>
        <v>3181363.433</v>
      </c>
      <c r="O50" s="6"/>
      <c r="P50" s="112" t="s">
        <v>105</v>
      </c>
      <c r="Q50" s="113">
        <f t="shared" si="7"/>
        <v>1481427.824</v>
      </c>
      <c r="R50" s="114">
        <f t="shared" si="13"/>
        <v>158368.9903</v>
      </c>
      <c r="S50" s="115"/>
    </row>
    <row r="51">
      <c r="B51" s="116">
        <f t="shared" si="8"/>
        <v>2053</v>
      </c>
      <c r="C51" s="109">
        <f t="shared" si="31"/>
        <v>119485.8396</v>
      </c>
      <c r="D51" s="109">
        <f t="shared" si="2"/>
        <v>-78525.78537</v>
      </c>
      <c r="E51" s="117">
        <f t="shared" si="26"/>
        <v>4955937.87</v>
      </c>
      <c r="G51" s="110">
        <f t="shared" si="27"/>
        <v>0</v>
      </c>
      <c r="H51" s="111">
        <f t="shared" ref="H51:J51" si="49">$M51*L$8</f>
        <v>16384.02168</v>
      </c>
      <c r="I51" s="111">
        <f t="shared" si="49"/>
        <v>16384.02168</v>
      </c>
      <c r="J51" s="111">
        <f t="shared" si="49"/>
        <v>8192.01084</v>
      </c>
      <c r="K51" s="110">
        <f t="shared" si="5"/>
        <v>40960.0542</v>
      </c>
      <c r="L51" s="110">
        <f>'Monthly  Mortgage Calculation'!E350</f>
        <v>0</v>
      </c>
      <c r="M51" s="110">
        <f t="shared" si="30"/>
        <v>3276804.336</v>
      </c>
      <c r="N51" s="118">
        <f t="shared" si="6"/>
        <v>3276804.336</v>
      </c>
      <c r="O51" s="6"/>
      <c r="P51" s="112" t="s">
        <v>106</v>
      </c>
      <c r="Q51" s="113">
        <f t="shared" si="7"/>
        <v>1679133.534</v>
      </c>
      <c r="R51" s="114">
        <f t="shared" si="13"/>
        <v>228977.8302</v>
      </c>
      <c r="S51" s="115"/>
    </row>
    <row r="52">
      <c r="B52" s="5"/>
      <c r="C52" s="5"/>
      <c r="D52" s="5"/>
      <c r="E52" s="5"/>
      <c r="G52" s="6"/>
      <c r="H52" s="6"/>
      <c r="I52" s="6"/>
      <c r="J52" s="6"/>
      <c r="K52" s="6"/>
      <c r="L52" s="6"/>
      <c r="M52" s="6"/>
      <c r="N52" s="6"/>
      <c r="O52" s="6"/>
      <c r="Q52" s="100"/>
      <c r="R52" s="100"/>
    </row>
    <row r="53">
      <c r="B53" s="119" t="s">
        <v>107</v>
      </c>
      <c r="G53" s="6"/>
      <c r="H53" s="6"/>
      <c r="I53" s="6"/>
      <c r="J53" s="6"/>
      <c r="K53" s="6"/>
      <c r="L53" s="6"/>
      <c r="M53" s="6"/>
      <c r="N53" s="6"/>
      <c r="O53" s="6"/>
      <c r="Q53" s="100"/>
      <c r="R53" s="100"/>
    </row>
    <row r="54">
      <c r="B54" s="119" t="s">
        <v>108</v>
      </c>
      <c r="G54" s="6"/>
      <c r="H54" s="6"/>
      <c r="I54" s="6"/>
      <c r="J54" s="6"/>
      <c r="K54" s="6"/>
      <c r="L54" s="6"/>
      <c r="M54" s="6"/>
      <c r="N54" s="6"/>
      <c r="O54" s="6"/>
      <c r="Q54" s="100"/>
      <c r="R54" s="100"/>
    </row>
  </sheetData>
  <mergeCells count="18">
    <mergeCell ref="B1:E1"/>
    <mergeCell ref="G1:O1"/>
    <mergeCell ref="Q1:R1"/>
    <mergeCell ref="A2:A4"/>
    <mergeCell ref="C4:D4"/>
    <mergeCell ref="G4:H4"/>
    <mergeCell ref="A6:A7"/>
    <mergeCell ref="M14:N14"/>
    <mergeCell ref="Q18:R18"/>
    <mergeCell ref="B53:E53"/>
    <mergeCell ref="B54:E54"/>
    <mergeCell ref="L4:O4"/>
    <mergeCell ref="M10:N10"/>
    <mergeCell ref="M11:N11"/>
    <mergeCell ref="M12:N12"/>
    <mergeCell ref="M13:N13"/>
    <mergeCell ref="C15:E16"/>
    <mergeCell ref="G16:H16"/>
  </mergeCells>
  <hyperlinks>
    <hyperlink r:id="rId1" ref="A11"/>
    <hyperlink r:id="rId2" ref="A16"/>
    <hyperlink r:id="rId3" ref="A18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0" width="15.13"/>
  </cols>
  <sheetData>
    <row r="1">
      <c r="A1" s="103" t="s">
        <v>62</v>
      </c>
      <c r="B1" s="103" t="s">
        <v>109</v>
      </c>
      <c r="C1" s="120" t="s">
        <v>110</v>
      </c>
      <c r="D1" s="120" t="s">
        <v>111</v>
      </c>
      <c r="E1" s="120" t="s">
        <v>112</v>
      </c>
      <c r="F1" s="14"/>
      <c r="G1" s="121" t="s">
        <v>113</v>
      </c>
      <c r="H1" s="74"/>
      <c r="I1" s="122"/>
    </row>
    <row r="2" ht="25.5" customHeight="1">
      <c r="A2" s="123">
        <v>2025.0</v>
      </c>
      <c r="B2" s="124">
        <v>1.0</v>
      </c>
      <c r="C2" s="125">
        <f t="shared" ref="C2:C361" si="1">IF((((A2-$A$2)+1)&gt;10),$I$15,IF((((A2-$A$2)+1)&gt;5),$I$14,$I$13))</f>
        <v>6853.910029</v>
      </c>
      <c r="D2" s="125">
        <f>IF((((A2-$A$2)+1)&gt;10),$H$15,IF((((A2-$A$2)+1)&gt;5),$H$14,$H$13))*H2</f>
        <v>4429.247534</v>
      </c>
      <c r="E2" s="125">
        <f>MAX((H2-(C2-D2)),0)</f>
        <v>1274103.005</v>
      </c>
      <c r="F2" s="14"/>
      <c r="G2" s="38" t="s">
        <v>71</v>
      </c>
      <c r="H2" s="53">
        <f>'Assumptions and Summary'!H5*((1-'Assumptions and Summary'!H6)*(1+'Assumptions and Summary'!H13))</f>
        <v>1276527.668</v>
      </c>
      <c r="I2" s="20"/>
    </row>
    <row r="3">
      <c r="A3" s="126">
        <f t="shared" ref="A3:A361" si="2">IF((B3=1),(A2+1),A2)</f>
        <v>2025</v>
      </c>
      <c r="B3" s="126">
        <f t="shared" ref="B3:B361" si="3">IF((B2=12),1,(B2+1))</f>
        <v>2</v>
      </c>
      <c r="C3" s="125">
        <f t="shared" si="1"/>
        <v>6853.910029</v>
      </c>
      <c r="D3" s="125">
        <f t="shared" ref="D3:D361" si="4">IF((((A3-$A$2)+1)&gt;10),$H$15,IF((((A3-$A$2)+1)&gt;5),$H$14,$H$13))*E2</f>
        <v>4420.834531</v>
      </c>
      <c r="E3" s="125">
        <f t="shared" ref="E3:E361" si="5">MAX((E2-(C3-D3)),0)</f>
        <v>1271669.93</v>
      </c>
      <c r="F3" s="14"/>
      <c r="G3" s="89" t="s">
        <v>114</v>
      </c>
      <c r="H3" s="127">
        <f>'Assumptions and Summary'!H7</f>
        <v>25</v>
      </c>
      <c r="I3" s="20"/>
    </row>
    <row r="4">
      <c r="A4" s="126">
        <f t="shared" si="2"/>
        <v>2025</v>
      </c>
      <c r="B4" s="126">
        <f t="shared" si="3"/>
        <v>3</v>
      </c>
      <c r="C4" s="125">
        <f t="shared" si="1"/>
        <v>6853.910029</v>
      </c>
      <c r="D4" s="125">
        <f t="shared" si="4"/>
        <v>4412.392338</v>
      </c>
      <c r="E4" s="125">
        <f t="shared" si="5"/>
        <v>1269228.412</v>
      </c>
      <c r="G4" s="128"/>
      <c r="H4" s="128"/>
    </row>
    <row r="5">
      <c r="A5" s="126">
        <f t="shared" si="2"/>
        <v>2025</v>
      </c>
      <c r="B5" s="126">
        <f t="shared" si="3"/>
        <v>4</v>
      </c>
      <c r="C5" s="125">
        <f t="shared" si="1"/>
        <v>6853.910029</v>
      </c>
      <c r="D5" s="125">
        <f t="shared" si="4"/>
        <v>4403.920852</v>
      </c>
      <c r="E5" s="125">
        <f t="shared" si="5"/>
        <v>1266778.423</v>
      </c>
      <c r="G5" s="129"/>
      <c r="H5" s="129"/>
    </row>
    <row r="6">
      <c r="A6" s="126">
        <f t="shared" si="2"/>
        <v>2025</v>
      </c>
      <c r="B6" s="126">
        <f t="shared" si="3"/>
        <v>5</v>
      </c>
      <c r="C6" s="125">
        <f t="shared" si="1"/>
        <v>6853.910029</v>
      </c>
      <c r="D6" s="125">
        <f t="shared" si="4"/>
        <v>4395.419972</v>
      </c>
      <c r="E6" s="125">
        <f t="shared" si="5"/>
        <v>1264319.933</v>
      </c>
      <c r="F6" s="14"/>
      <c r="G6" s="130" t="s">
        <v>115</v>
      </c>
      <c r="H6" s="131" t="s">
        <v>116</v>
      </c>
      <c r="I6" s="20"/>
    </row>
    <row r="7">
      <c r="A7" s="126">
        <f t="shared" si="2"/>
        <v>2025</v>
      </c>
      <c r="B7" s="126">
        <f t="shared" si="3"/>
        <v>6</v>
      </c>
      <c r="C7" s="125">
        <f t="shared" si="1"/>
        <v>6853.910029</v>
      </c>
      <c r="D7" s="125">
        <f t="shared" si="4"/>
        <v>4386.889596</v>
      </c>
      <c r="E7" s="125">
        <f t="shared" si="5"/>
        <v>1261852.912</v>
      </c>
      <c r="F7" s="14"/>
      <c r="G7" s="132" t="str">
        <f>'Assumptions and Summary'!J6</f>
        <v>First 5 Years</v>
      </c>
      <c r="H7" s="133">
        <f>'Assumptions and Summary'!K6</f>
        <v>0.042</v>
      </c>
      <c r="I7" s="20"/>
    </row>
    <row r="8">
      <c r="A8" s="126">
        <f t="shared" si="2"/>
        <v>2025</v>
      </c>
      <c r="B8" s="126">
        <f t="shared" si="3"/>
        <v>7</v>
      </c>
      <c r="C8" s="125">
        <f t="shared" si="1"/>
        <v>6853.910029</v>
      </c>
      <c r="D8" s="125">
        <f t="shared" si="4"/>
        <v>4378.329621</v>
      </c>
      <c r="E8" s="125">
        <f t="shared" si="5"/>
        <v>1259377.332</v>
      </c>
      <c r="F8" s="14"/>
      <c r="G8" s="132" t="str">
        <f>'Assumptions and Summary'!J7</f>
        <v>Next 5 Years:</v>
      </c>
      <c r="H8" s="133">
        <f>'Assumptions and Summary'!K7</f>
        <v>0.048</v>
      </c>
      <c r="I8" s="20"/>
    </row>
    <row r="9">
      <c r="A9" s="126">
        <f t="shared" si="2"/>
        <v>2025</v>
      </c>
      <c r="B9" s="126">
        <f t="shared" si="3"/>
        <v>8</v>
      </c>
      <c r="C9" s="125">
        <f t="shared" si="1"/>
        <v>6853.910029</v>
      </c>
      <c r="D9" s="125">
        <f t="shared" si="4"/>
        <v>4369.739946</v>
      </c>
      <c r="E9" s="125">
        <f t="shared" si="5"/>
        <v>1256893.162</v>
      </c>
      <c r="F9" s="14"/>
      <c r="G9" s="54" t="str">
        <f>'Assumptions and Summary'!J8</f>
        <v>Final 15 Years</v>
      </c>
      <c r="H9" s="134">
        <f>'Assumptions and Summary'!K8</f>
        <v>0.048</v>
      </c>
      <c r="I9" s="20"/>
    </row>
    <row r="10">
      <c r="A10" s="126">
        <f t="shared" si="2"/>
        <v>2025</v>
      </c>
      <c r="B10" s="126">
        <f t="shared" si="3"/>
        <v>9</v>
      </c>
      <c r="C10" s="125">
        <f t="shared" si="1"/>
        <v>6853.910029</v>
      </c>
      <c r="D10" s="125">
        <f t="shared" si="4"/>
        <v>4361.120466</v>
      </c>
      <c r="E10" s="125">
        <f t="shared" si="5"/>
        <v>1254400.372</v>
      </c>
      <c r="G10" s="135"/>
      <c r="H10" s="135"/>
      <c r="I10" s="136"/>
    </row>
    <row r="11">
      <c r="A11" s="126">
        <f t="shared" si="2"/>
        <v>2025</v>
      </c>
      <c r="B11" s="126">
        <f t="shared" si="3"/>
        <v>10</v>
      </c>
      <c r="C11" s="125">
        <f t="shared" si="1"/>
        <v>6853.910029</v>
      </c>
      <c r="D11" s="125">
        <f t="shared" si="4"/>
        <v>4352.471079</v>
      </c>
      <c r="E11" s="125">
        <f t="shared" si="5"/>
        <v>1251898.933</v>
      </c>
      <c r="F11" s="14"/>
      <c r="G11" s="137" t="s">
        <v>117</v>
      </c>
      <c r="H11" s="19"/>
      <c r="I11" s="12"/>
      <c r="J11" s="20"/>
    </row>
    <row r="12">
      <c r="A12" s="126">
        <f t="shared" si="2"/>
        <v>2025</v>
      </c>
      <c r="B12" s="126">
        <f t="shared" si="3"/>
        <v>11</v>
      </c>
      <c r="C12" s="125">
        <f t="shared" si="1"/>
        <v>6853.910029</v>
      </c>
      <c r="D12" s="125">
        <f t="shared" si="4"/>
        <v>4343.791681</v>
      </c>
      <c r="E12" s="125">
        <f t="shared" si="5"/>
        <v>1249388.815</v>
      </c>
      <c r="F12" s="14"/>
      <c r="G12" s="138"/>
      <c r="H12" s="130" t="s">
        <v>118</v>
      </c>
      <c r="I12" s="131" t="s">
        <v>119</v>
      </c>
      <c r="J12" s="20"/>
    </row>
    <row r="13">
      <c r="A13" s="126">
        <f t="shared" si="2"/>
        <v>2025</v>
      </c>
      <c r="B13" s="126">
        <f t="shared" si="3"/>
        <v>12</v>
      </c>
      <c r="C13" s="125">
        <f t="shared" si="1"/>
        <v>6853.910029</v>
      </c>
      <c r="D13" s="125">
        <f t="shared" si="4"/>
        <v>4335.082167</v>
      </c>
      <c r="E13" s="125">
        <f t="shared" si="5"/>
        <v>1246869.987</v>
      </c>
      <c r="F13" s="14"/>
      <c r="G13" s="132" t="str">
        <f>'Assumptions and Summary'!J11</f>
        <v>First 5 Years</v>
      </c>
      <c r="H13" s="139">
        <f t="shared" ref="H13:H15" si="6">(((($H7/2)+1)^2)^(1/12)-1)</f>
        <v>0.003469762267</v>
      </c>
      <c r="I13" s="140">
        <f>-PMT(H13,($H$3*12),H2)</f>
        <v>6853.910029</v>
      </c>
      <c r="J13" s="20"/>
    </row>
    <row r="14">
      <c r="A14" s="126">
        <f t="shared" si="2"/>
        <v>2026</v>
      </c>
      <c r="B14" s="126">
        <f t="shared" si="3"/>
        <v>1</v>
      </c>
      <c r="C14" s="125">
        <f t="shared" si="1"/>
        <v>6853.910029</v>
      </c>
      <c r="D14" s="125">
        <f t="shared" si="4"/>
        <v>4326.342433</v>
      </c>
      <c r="E14" s="125">
        <f t="shared" si="5"/>
        <v>1244342.419</v>
      </c>
      <c r="F14" s="14"/>
      <c r="G14" s="132" t="str">
        <f>'Assumptions and Summary'!J12</f>
        <v>Next 5 Years:</v>
      </c>
      <c r="H14" s="139">
        <f t="shared" si="6"/>
        <v>0.003960576873</v>
      </c>
      <c r="I14" s="140">
        <f>-PMT(H14,(($H$3-5)*12),$E$61)</f>
        <v>7207.722077</v>
      </c>
      <c r="J14" s="20"/>
    </row>
    <row r="15">
      <c r="A15" s="126">
        <f t="shared" si="2"/>
        <v>2026</v>
      </c>
      <c r="B15" s="126">
        <f t="shared" si="3"/>
        <v>2</v>
      </c>
      <c r="C15" s="125">
        <f t="shared" si="1"/>
        <v>6853.910029</v>
      </c>
      <c r="D15" s="125">
        <f t="shared" si="4"/>
        <v>4317.572374</v>
      </c>
      <c r="E15" s="125">
        <f t="shared" si="5"/>
        <v>1241806.082</v>
      </c>
      <c r="F15" s="14"/>
      <c r="G15" s="54" t="str">
        <f>'Assumptions and Summary'!J13</f>
        <v>Final 15 Years</v>
      </c>
      <c r="H15" s="139">
        <f t="shared" si="6"/>
        <v>0.003960576873</v>
      </c>
      <c r="I15" s="90">
        <f>-PMT(H15,(($H$3-10)*12),$E$121)</f>
        <v>7207.722077</v>
      </c>
      <c r="J15" s="20"/>
    </row>
    <row r="16">
      <c r="A16" s="126">
        <f t="shared" si="2"/>
        <v>2026</v>
      </c>
      <c r="B16" s="126">
        <f t="shared" si="3"/>
        <v>3</v>
      </c>
      <c r="C16" s="125">
        <f t="shared" si="1"/>
        <v>6853.910029</v>
      </c>
      <c r="D16" s="125">
        <f t="shared" si="4"/>
        <v>4308.771885</v>
      </c>
      <c r="E16" s="125">
        <f t="shared" si="5"/>
        <v>1239260.944</v>
      </c>
      <c r="G16" s="141"/>
      <c r="H16" s="142"/>
      <c r="I16" s="141"/>
    </row>
    <row r="17">
      <c r="A17" s="126">
        <f t="shared" si="2"/>
        <v>2026</v>
      </c>
      <c r="B17" s="126">
        <f t="shared" si="3"/>
        <v>4</v>
      </c>
      <c r="C17" s="125">
        <f t="shared" si="1"/>
        <v>6853.910029</v>
      </c>
      <c r="D17" s="125">
        <f t="shared" si="4"/>
        <v>4299.940861</v>
      </c>
      <c r="E17" s="125">
        <f t="shared" si="5"/>
        <v>1236706.974</v>
      </c>
    </row>
    <row r="18">
      <c r="A18" s="126">
        <f t="shared" si="2"/>
        <v>2026</v>
      </c>
      <c r="B18" s="126">
        <f t="shared" si="3"/>
        <v>5</v>
      </c>
      <c r="C18" s="125">
        <f t="shared" si="1"/>
        <v>6853.910029</v>
      </c>
      <c r="D18" s="125">
        <f t="shared" si="4"/>
        <v>4291.079195</v>
      </c>
      <c r="E18" s="125">
        <f t="shared" si="5"/>
        <v>1234144.144</v>
      </c>
    </row>
    <row r="19">
      <c r="A19" s="126">
        <f t="shared" si="2"/>
        <v>2026</v>
      </c>
      <c r="B19" s="126">
        <f t="shared" si="3"/>
        <v>6</v>
      </c>
      <c r="C19" s="125">
        <f t="shared" si="1"/>
        <v>6853.910029</v>
      </c>
      <c r="D19" s="125">
        <f t="shared" si="4"/>
        <v>4282.186782</v>
      </c>
      <c r="E19" s="125">
        <f t="shared" si="5"/>
        <v>1231572.42</v>
      </c>
    </row>
    <row r="20">
      <c r="A20" s="126">
        <f t="shared" si="2"/>
        <v>2026</v>
      </c>
      <c r="B20" s="126">
        <f t="shared" si="3"/>
        <v>7</v>
      </c>
      <c r="C20" s="125">
        <f t="shared" si="1"/>
        <v>6853.910029</v>
      </c>
      <c r="D20" s="125">
        <f t="shared" si="4"/>
        <v>4273.263513</v>
      </c>
      <c r="E20" s="125">
        <f t="shared" si="5"/>
        <v>1228991.774</v>
      </c>
    </row>
    <row r="21">
      <c r="A21" s="126">
        <f t="shared" si="2"/>
        <v>2026</v>
      </c>
      <c r="B21" s="126">
        <f t="shared" si="3"/>
        <v>8</v>
      </c>
      <c r="C21" s="125">
        <f t="shared" si="1"/>
        <v>6853.910029</v>
      </c>
      <c r="D21" s="125">
        <f t="shared" si="4"/>
        <v>4264.309283</v>
      </c>
      <c r="E21" s="125">
        <f t="shared" si="5"/>
        <v>1226402.173</v>
      </c>
    </row>
    <row r="22">
      <c r="A22" s="126">
        <f t="shared" si="2"/>
        <v>2026</v>
      </c>
      <c r="B22" s="126">
        <f t="shared" si="3"/>
        <v>9</v>
      </c>
      <c r="C22" s="125">
        <f t="shared" si="1"/>
        <v>6853.910029</v>
      </c>
      <c r="D22" s="125">
        <f t="shared" si="4"/>
        <v>4255.323984</v>
      </c>
      <c r="E22" s="125">
        <f t="shared" si="5"/>
        <v>1223803.587</v>
      </c>
    </row>
    <row r="23">
      <c r="A23" s="126">
        <f t="shared" si="2"/>
        <v>2026</v>
      </c>
      <c r="B23" s="126">
        <f t="shared" si="3"/>
        <v>10</v>
      </c>
      <c r="C23" s="125">
        <f t="shared" si="1"/>
        <v>6853.910029</v>
      </c>
      <c r="D23" s="125">
        <f t="shared" si="4"/>
        <v>4246.307509</v>
      </c>
      <c r="E23" s="125">
        <f t="shared" si="5"/>
        <v>1221195.984</v>
      </c>
    </row>
    <row r="24">
      <c r="A24" s="126">
        <f t="shared" si="2"/>
        <v>2026</v>
      </c>
      <c r="B24" s="126">
        <f t="shared" si="3"/>
        <v>11</v>
      </c>
      <c r="C24" s="125">
        <f t="shared" si="1"/>
        <v>6853.910029</v>
      </c>
      <c r="D24" s="125">
        <f t="shared" si="4"/>
        <v>4237.259748</v>
      </c>
      <c r="E24" s="125">
        <f t="shared" si="5"/>
        <v>1218579.334</v>
      </c>
    </row>
    <row r="25">
      <c r="A25" s="126">
        <f t="shared" si="2"/>
        <v>2026</v>
      </c>
      <c r="B25" s="126">
        <f t="shared" si="3"/>
        <v>12</v>
      </c>
      <c r="C25" s="125">
        <f t="shared" si="1"/>
        <v>6853.910029</v>
      </c>
      <c r="D25" s="125">
        <f t="shared" si="4"/>
        <v>4228.180593</v>
      </c>
      <c r="E25" s="125">
        <f t="shared" si="5"/>
        <v>1215953.605</v>
      </c>
    </row>
    <row r="26">
      <c r="A26" s="126">
        <f t="shared" si="2"/>
        <v>2027</v>
      </c>
      <c r="B26" s="126">
        <f t="shared" si="3"/>
        <v>1</v>
      </c>
      <c r="C26" s="125">
        <f t="shared" si="1"/>
        <v>6853.910029</v>
      </c>
      <c r="D26" s="125">
        <f t="shared" si="4"/>
        <v>4219.069936</v>
      </c>
      <c r="E26" s="125">
        <f t="shared" si="5"/>
        <v>1213318.765</v>
      </c>
    </row>
    <row r="27">
      <c r="A27" s="126">
        <f t="shared" si="2"/>
        <v>2027</v>
      </c>
      <c r="B27" s="126">
        <f t="shared" si="3"/>
        <v>2</v>
      </c>
      <c r="C27" s="125">
        <f t="shared" si="1"/>
        <v>6853.910029</v>
      </c>
      <c r="D27" s="125">
        <f t="shared" si="4"/>
        <v>4209.927668</v>
      </c>
      <c r="E27" s="125">
        <f t="shared" si="5"/>
        <v>1210674.782</v>
      </c>
    </row>
    <row r="28">
      <c r="A28" s="126">
        <f t="shared" si="2"/>
        <v>2027</v>
      </c>
      <c r="B28" s="126">
        <f t="shared" si="3"/>
        <v>3</v>
      </c>
      <c r="C28" s="125">
        <f t="shared" si="1"/>
        <v>6853.910029</v>
      </c>
      <c r="D28" s="125">
        <f t="shared" si="4"/>
        <v>4200.753677</v>
      </c>
      <c r="E28" s="125">
        <f t="shared" si="5"/>
        <v>1208021.626</v>
      </c>
    </row>
    <row r="29">
      <c r="A29" s="126">
        <f t="shared" si="2"/>
        <v>2027</v>
      </c>
      <c r="B29" s="126">
        <f t="shared" si="3"/>
        <v>4</v>
      </c>
      <c r="C29" s="125">
        <f t="shared" si="1"/>
        <v>6853.910029</v>
      </c>
      <c r="D29" s="125">
        <f t="shared" si="4"/>
        <v>4191.547856</v>
      </c>
      <c r="E29" s="125">
        <f t="shared" si="5"/>
        <v>1205359.264</v>
      </c>
    </row>
    <row r="30">
      <c r="A30" s="126">
        <f t="shared" si="2"/>
        <v>2027</v>
      </c>
      <c r="B30" s="126">
        <f t="shared" si="3"/>
        <v>5</v>
      </c>
      <c r="C30" s="125">
        <f t="shared" si="1"/>
        <v>6853.910029</v>
      </c>
      <c r="D30" s="125">
        <f t="shared" si="4"/>
        <v>4182.310092</v>
      </c>
      <c r="E30" s="125">
        <f t="shared" si="5"/>
        <v>1202687.664</v>
      </c>
    </row>
    <row r="31">
      <c r="A31" s="126">
        <f t="shared" si="2"/>
        <v>2027</v>
      </c>
      <c r="B31" s="126">
        <f t="shared" si="3"/>
        <v>6</v>
      </c>
      <c r="C31" s="125">
        <f t="shared" si="1"/>
        <v>6853.910029</v>
      </c>
      <c r="D31" s="125">
        <f t="shared" si="4"/>
        <v>4173.040275</v>
      </c>
      <c r="E31" s="125">
        <f t="shared" si="5"/>
        <v>1200006.794</v>
      </c>
    </row>
    <row r="32">
      <c r="A32" s="126">
        <f t="shared" si="2"/>
        <v>2027</v>
      </c>
      <c r="B32" s="126">
        <f t="shared" si="3"/>
        <v>7</v>
      </c>
      <c r="C32" s="125">
        <f t="shared" si="1"/>
        <v>6853.910029</v>
      </c>
      <c r="D32" s="125">
        <f t="shared" si="4"/>
        <v>4163.738294</v>
      </c>
      <c r="E32" s="125">
        <f t="shared" si="5"/>
        <v>1197316.622</v>
      </c>
    </row>
    <row r="33">
      <c r="A33" s="126">
        <f t="shared" si="2"/>
        <v>2027</v>
      </c>
      <c r="B33" s="126">
        <f t="shared" si="3"/>
        <v>8</v>
      </c>
      <c r="C33" s="125">
        <f t="shared" si="1"/>
        <v>6853.910029</v>
      </c>
      <c r="D33" s="125">
        <f t="shared" si="4"/>
        <v>4154.404038</v>
      </c>
      <c r="E33" s="125">
        <f t="shared" si="5"/>
        <v>1194617.116</v>
      </c>
    </row>
    <row r="34">
      <c r="A34" s="126">
        <f t="shared" si="2"/>
        <v>2027</v>
      </c>
      <c r="B34" s="126">
        <f t="shared" si="3"/>
        <v>9</v>
      </c>
      <c r="C34" s="125">
        <f t="shared" si="1"/>
        <v>6853.910029</v>
      </c>
      <c r="D34" s="125">
        <f t="shared" si="4"/>
        <v>4145.037394</v>
      </c>
      <c r="E34" s="125">
        <f t="shared" si="5"/>
        <v>1191908.244</v>
      </c>
    </row>
    <row r="35">
      <c r="A35" s="126">
        <f t="shared" si="2"/>
        <v>2027</v>
      </c>
      <c r="B35" s="126">
        <f t="shared" si="3"/>
        <v>10</v>
      </c>
      <c r="C35" s="125">
        <f t="shared" si="1"/>
        <v>6853.910029</v>
      </c>
      <c r="D35" s="125">
        <f t="shared" si="4"/>
        <v>4135.63825</v>
      </c>
      <c r="E35" s="125">
        <f t="shared" si="5"/>
        <v>1189189.972</v>
      </c>
    </row>
    <row r="36">
      <c r="A36" s="126">
        <f t="shared" si="2"/>
        <v>2027</v>
      </c>
      <c r="B36" s="126">
        <f t="shared" si="3"/>
        <v>11</v>
      </c>
      <c r="C36" s="125">
        <f t="shared" si="1"/>
        <v>6853.910029</v>
      </c>
      <c r="D36" s="125">
        <f t="shared" si="4"/>
        <v>4126.206493</v>
      </c>
      <c r="E36" s="125">
        <f t="shared" si="5"/>
        <v>1186462.268</v>
      </c>
    </row>
    <row r="37">
      <c r="A37" s="126">
        <f t="shared" si="2"/>
        <v>2027</v>
      </c>
      <c r="B37" s="126">
        <f t="shared" si="3"/>
        <v>12</v>
      </c>
      <c r="C37" s="125">
        <f t="shared" si="1"/>
        <v>6853.910029</v>
      </c>
      <c r="D37" s="125">
        <f t="shared" si="4"/>
        <v>4116.74201</v>
      </c>
      <c r="E37" s="125">
        <f t="shared" si="5"/>
        <v>1183725.1</v>
      </c>
    </row>
    <row r="38">
      <c r="A38" s="126">
        <f t="shared" si="2"/>
        <v>2028</v>
      </c>
      <c r="B38" s="126">
        <f t="shared" si="3"/>
        <v>1</v>
      </c>
      <c r="C38" s="125">
        <f t="shared" si="1"/>
        <v>6853.910029</v>
      </c>
      <c r="D38" s="125">
        <f t="shared" si="4"/>
        <v>4107.244688</v>
      </c>
      <c r="E38" s="125">
        <f t="shared" si="5"/>
        <v>1180978.435</v>
      </c>
    </row>
    <row r="39">
      <c r="A39" s="126">
        <f t="shared" si="2"/>
        <v>2028</v>
      </c>
      <c r="B39" s="126">
        <f t="shared" si="3"/>
        <v>2</v>
      </c>
      <c r="C39" s="125">
        <f t="shared" si="1"/>
        <v>6853.910029</v>
      </c>
      <c r="D39" s="125">
        <f t="shared" si="4"/>
        <v>4097.714412</v>
      </c>
      <c r="E39" s="125">
        <f t="shared" si="5"/>
        <v>1178222.239</v>
      </c>
    </row>
    <row r="40">
      <c r="A40" s="126">
        <f t="shared" si="2"/>
        <v>2028</v>
      </c>
      <c r="B40" s="126">
        <f t="shared" si="3"/>
        <v>3</v>
      </c>
      <c r="C40" s="125">
        <f t="shared" si="1"/>
        <v>6853.910029</v>
      </c>
      <c r="D40" s="125">
        <f t="shared" si="4"/>
        <v>4088.151069</v>
      </c>
      <c r="E40" s="125">
        <f t="shared" si="5"/>
        <v>1175456.48</v>
      </c>
    </row>
    <row r="41">
      <c r="A41" s="126">
        <f t="shared" si="2"/>
        <v>2028</v>
      </c>
      <c r="B41" s="126">
        <f t="shared" si="3"/>
        <v>4</v>
      </c>
      <c r="C41" s="125">
        <f t="shared" si="1"/>
        <v>6853.910029</v>
      </c>
      <c r="D41" s="125">
        <f t="shared" si="4"/>
        <v>4078.554543</v>
      </c>
      <c r="E41" s="125">
        <f t="shared" si="5"/>
        <v>1172681.125</v>
      </c>
    </row>
    <row r="42">
      <c r="A42" s="126">
        <f t="shared" si="2"/>
        <v>2028</v>
      </c>
      <c r="B42" s="126">
        <f t="shared" si="3"/>
        <v>5</v>
      </c>
      <c r="C42" s="125">
        <f t="shared" si="1"/>
        <v>6853.910029</v>
      </c>
      <c r="D42" s="125">
        <f t="shared" si="4"/>
        <v>4068.924719</v>
      </c>
      <c r="E42" s="125">
        <f t="shared" si="5"/>
        <v>1169896.14</v>
      </c>
    </row>
    <row r="43">
      <c r="A43" s="126">
        <f t="shared" si="2"/>
        <v>2028</v>
      </c>
      <c r="B43" s="126">
        <f t="shared" si="3"/>
        <v>6</v>
      </c>
      <c r="C43" s="125">
        <f t="shared" si="1"/>
        <v>6853.910029</v>
      </c>
      <c r="D43" s="125">
        <f t="shared" si="4"/>
        <v>4059.261482</v>
      </c>
      <c r="E43" s="125">
        <f t="shared" si="5"/>
        <v>1167101.491</v>
      </c>
    </row>
    <row r="44">
      <c r="A44" s="126">
        <f t="shared" si="2"/>
        <v>2028</v>
      </c>
      <c r="B44" s="126">
        <f t="shared" si="3"/>
        <v>7</v>
      </c>
      <c r="C44" s="125">
        <f t="shared" si="1"/>
        <v>6853.910029</v>
      </c>
      <c r="D44" s="125">
        <f t="shared" si="4"/>
        <v>4049.564716</v>
      </c>
      <c r="E44" s="125">
        <f t="shared" si="5"/>
        <v>1164297.146</v>
      </c>
    </row>
    <row r="45">
      <c r="A45" s="126">
        <f t="shared" si="2"/>
        <v>2028</v>
      </c>
      <c r="B45" s="126">
        <f t="shared" si="3"/>
        <v>8</v>
      </c>
      <c r="C45" s="125">
        <f t="shared" si="1"/>
        <v>6853.910029</v>
      </c>
      <c r="D45" s="125">
        <f t="shared" si="4"/>
        <v>4039.834304</v>
      </c>
      <c r="E45" s="125">
        <f t="shared" si="5"/>
        <v>1161483.07</v>
      </c>
    </row>
    <row r="46">
      <c r="A46" s="126">
        <f t="shared" si="2"/>
        <v>2028</v>
      </c>
      <c r="B46" s="126">
        <f t="shared" si="3"/>
        <v>9</v>
      </c>
      <c r="C46" s="125">
        <f t="shared" si="1"/>
        <v>6853.910029</v>
      </c>
      <c r="D46" s="125">
        <f t="shared" si="4"/>
        <v>4030.070131</v>
      </c>
      <c r="E46" s="125">
        <f t="shared" si="5"/>
        <v>1158659.23</v>
      </c>
    </row>
    <row r="47">
      <c r="A47" s="126">
        <f t="shared" si="2"/>
        <v>2028</v>
      </c>
      <c r="B47" s="126">
        <f t="shared" si="3"/>
        <v>10</v>
      </c>
      <c r="C47" s="125">
        <f t="shared" si="1"/>
        <v>6853.910029</v>
      </c>
      <c r="D47" s="125">
        <f t="shared" si="4"/>
        <v>4020.272077</v>
      </c>
      <c r="E47" s="125">
        <f t="shared" si="5"/>
        <v>1155825.592</v>
      </c>
    </row>
    <row r="48">
      <c r="A48" s="126">
        <f t="shared" si="2"/>
        <v>2028</v>
      </c>
      <c r="B48" s="126">
        <f t="shared" si="3"/>
        <v>11</v>
      </c>
      <c r="C48" s="125">
        <f t="shared" si="1"/>
        <v>6853.910029</v>
      </c>
      <c r="D48" s="125">
        <f t="shared" si="4"/>
        <v>4010.440027</v>
      </c>
      <c r="E48" s="125">
        <f t="shared" si="5"/>
        <v>1152982.122</v>
      </c>
    </row>
    <row r="49">
      <c r="A49" s="126">
        <f t="shared" si="2"/>
        <v>2028</v>
      </c>
      <c r="B49" s="126">
        <f t="shared" si="3"/>
        <v>12</v>
      </c>
      <c r="C49" s="125">
        <f t="shared" si="1"/>
        <v>6853.910029</v>
      </c>
      <c r="D49" s="125">
        <f t="shared" si="4"/>
        <v>4000.573863</v>
      </c>
      <c r="E49" s="125">
        <f t="shared" si="5"/>
        <v>1150128.786</v>
      </c>
    </row>
    <row r="50">
      <c r="A50" s="126">
        <f t="shared" si="2"/>
        <v>2029</v>
      </c>
      <c r="B50" s="126">
        <f t="shared" si="3"/>
        <v>1</v>
      </c>
      <c r="C50" s="125">
        <f t="shared" si="1"/>
        <v>6853.910029</v>
      </c>
      <c r="D50" s="125">
        <f t="shared" si="4"/>
        <v>3990.673464</v>
      </c>
      <c r="E50" s="125">
        <f t="shared" si="5"/>
        <v>1147265.55</v>
      </c>
    </row>
    <row r="51">
      <c r="A51" s="126">
        <f t="shared" si="2"/>
        <v>2029</v>
      </c>
      <c r="B51" s="126">
        <f t="shared" si="3"/>
        <v>2</v>
      </c>
      <c r="C51" s="125">
        <f t="shared" si="1"/>
        <v>6853.910029</v>
      </c>
      <c r="D51" s="125">
        <f t="shared" si="4"/>
        <v>3980.738714</v>
      </c>
      <c r="E51" s="125">
        <f t="shared" si="5"/>
        <v>1144392.378</v>
      </c>
    </row>
    <row r="52">
      <c r="A52" s="126">
        <f t="shared" si="2"/>
        <v>2029</v>
      </c>
      <c r="B52" s="126">
        <f t="shared" si="3"/>
        <v>3</v>
      </c>
      <c r="C52" s="125">
        <f t="shared" si="1"/>
        <v>6853.910029</v>
      </c>
      <c r="D52" s="125">
        <f t="shared" si="4"/>
        <v>3970.769493</v>
      </c>
      <c r="E52" s="125">
        <f t="shared" si="5"/>
        <v>1141509.238</v>
      </c>
    </row>
    <row r="53">
      <c r="A53" s="126">
        <f t="shared" si="2"/>
        <v>2029</v>
      </c>
      <c r="B53" s="126">
        <f t="shared" si="3"/>
        <v>4</v>
      </c>
      <c r="C53" s="125">
        <f t="shared" si="1"/>
        <v>6853.910029</v>
      </c>
      <c r="D53" s="125">
        <f t="shared" si="4"/>
        <v>3960.76568</v>
      </c>
      <c r="E53" s="125">
        <f t="shared" si="5"/>
        <v>1138616.093</v>
      </c>
    </row>
    <row r="54">
      <c r="A54" s="126">
        <f t="shared" si="2"/>
        <v>2029</v>
      </c>
      <c r="B54" s="126">
        <f t="shared" si="3"/>
        <v>5</v>
      </c>
      <c r="C54" s="125">
        <f t="shared" si="1"/>
        <v>6853.910029</v>
      </c>
      <c r="D54" s="125">
        <f t="shared" si="4"/>
        <v>3950.727157</v>
      </c>
      <c r="E54" s="125">
        <f t="shared" si="5"/>
        <v>1135712.91</v>
      </c>
    </row>
    <row r="55">
      <c r="A55" s="126">
        <f t="shared" si="2"/>
        <v>2029</v>
      </c>
      <c r="B55" s="126">
        <f t="shared" si="3"/>
        <v>6</v>
      </c>
      <c r="C55" s="125">
        <f t="shared" si="1"/>
        <v>6853.910029</v>
      </c>
      <c r="D55" s="125">
        <f t="shared" si="4"/>
        <v>3940.653803</v>
      </c>
      <c r="E55" s="125">
        <f t="shared" si="5"/>
        <v>1132799.654</v>
      </c>
    </row>
    <row r="56">
      <c r="A56" s="126">
        <f t="shared" si="2"/>
        <v>2029</v>
      </c>
      <c r="B56" s="126">
        <f t="shared" si="3"/>
        <v>7</v>
      </c>
      <c r="C56" s="125">
        <f t="shared" si="1"/>
        <v>6853.910029</v>
      </c>
      <c r="D56" s="125">
        <f t="shared" si="4"/>
        <v>3930.545496</v>
      </c>
      <c r="E56" s="125">
        <f t="shared" si="5"/>
        <v>1129876.29</v>
      </c>
    </row>
    <row r="57">
      <c r="A57" s="126">
        <f t="shared" si="2"/>
        <v>2029</v>
      </c>
      <c r="B57" s="126">
        <f t="shared" si="3"/>
        <v>8</v>
      </c>
      <c r="C57" s="125">
        <f t="shared" si="1"/>
        <v>6853.910029</v>
      </c>
      <c r="D57" s="125">
        <f t="shared" si="4"/>
        <v>3920.402117</v>
      </c>
      <c r="E57" s="125">
        <f t="shared" si="5"/>
        <v>1126942.782</v>
      </c>
    </row>
    <row r="58">
      <c r="A58" s="126">
        <f t="shared" si="2"/>
        <v>2029</v>
      </c>
      <c r="B58" s="126">
        <f t="shared" si="3"/>
        <v>9</v>
      </c>
      <c r="C58" s="125">
        <f t="shared" si="1"/>
        <v>6853.910029</v>
      </c>
      <c r="D58" s="125">
        <f t="shared" si="4"/>
        <v>3910.223541</v>
      </c>
      <c r="E58" s="125">
        <f t="shared" si="5"/>
        <v>1123999.095</v>
      </c>
    </row>
    <row r="59">
      <c r="A59" s="126">
        <f t="shared" si="2"/>
        <v>2029</v>
      </c>
      <c r="B59" s="126">
        <f t="shared" si="3"/>
        <v>10</v>
      </c>
      <c r="C59" s="125">
        <f t="shared" si="1"/>
        <v>6853.910029</v>
      </c>
      <c r="D59" s="125">
        <f t="shared" si="4"/>
        <v>3900.009649</v>
      </c>
      <c r="E59" s="125">
        <f t="shared" si="5"/>
        <v>1121045.195</v>
      </c>
    </row>
    <row r="60">
      <c r="A60" s="126">
        <f t="shared" si="2"/>
        <v>2029</v>
      </c>
      <c r="B60" s="126">
        <f t="shared" si="3"/>
        <v>11</v>
      </c>
      <c r="C60" s="125">
        <f t="shared" si="1"/>
        <v>6853.910029</v>
      </c>
      <c r="D60" s="125">
        <f t="shared" si="4"/>
        <v>3889.760317</v>
      </c>
      <c r="E60" s="125">
        <f t="shared" si="5"/>
        <v>1118081.045</v>
      </c>
    </row>
    <row r="61">
      <c r="A61" s="126">
        <f t="shared" si="2"/>
        <v>2029</v>
      </c>
      <c r="B61" s="126">
        <f t="shared" si="3"/>
        <v>12</v>
      </c>
      <c r="C61" s="125">
        <f t="shared" si="1"/>
        <v>6853.910029</v>
      </c>
      <c r="D61" s="125">
        <f t="shared" si="4"/>
        <v>3879.475422</v>
      </c>
      <c r="E61" s="125">
        <f t="shared" si="5"/>
        <v>1115106.611</v>
      </c>
    </row>
    <row r="62">
      <c r="A62" s="126">
        <f t="shared" si="2"/>
        <v>2030</v>
      </c>
      <c r="B62" s="126">
        <f t="shared" si="3"/>
        <v>1</v>
      </c>
      <c r="C62" s="125">
        <f t="shared" si="1"/>
        <v>7207.722077</v>
      </c>
      <c r="D62" s="125">
        <f t="shared" si="4"/>
        <v>4416.465453</v>
      </c>
      <c r="E62" s="125">
        <f t="shared" si="5"/>
        <v>1112315.354</v>
      </c>
    </row>
    <row r="63">
      <c r="A63" s="126">
        <f t="shared" si="2"/>
        <v>2030</v>
      </c>
      <c r="B63" s="126">
        <f t="shared" si="3"/>
        <v>2</v>
      </c>
      <c r="C63" s="125">
        <f t="shared" si="1"/>
        <v>7207.722077</v>
      </c>
      <c r="D63" s="125">
        <f t="shared" si="4"/>
        <v>4405.410467</v>
      </c>
      <c r="E63" s="125">
        <f t="shared" si="5"/>
        <v>1109513.042</v>
      </c>
    </row>
    <row r="64">
      <c r="A64" s="126">
        <f t="shared" si="2"/>
        <v>2030</v>
      </c>
      <c r="B64" s="126">
        <f t="shared" si="3"/>
        <v>3</v>
      </c>
      <c r="C64" s="125">
        <f t="shared" si="1"/>
        <v>7207.722077</v>
      </c>
      <c r="D64" s="125">
        <f t="shared" si="4"/>
        <v>4394.311696</v>
      </c>
      <c r="E64" s="125">
        <f t="shared" si="5"/>
        <v>1106699.632</v>
      </c>
    </row>
    <row r="65">
      <c r="A65" s="126">
        <f t="shared" si="2"/>
        <v>2030</v>
      </c>
      <c r="B65" s="126">
        <f t="shared" si="3"/>
        <v>4</v>
      </c>
      <c r="C65" s="125">
        <f t="shared" si="1"/>
        <v>7207.722077</v>
      </c>
      <c r="D65" s="125">
        <f t="shared" si="4"/>
        <v>4383.168968</v>
      </c>
      <c r="E65" s="125">
        <f t="shared" si="5"/>
        <v>1103875.079</v>
      </c>
    </row>
    <row r="66">
      <c r="A66" s="126">
        <f t="shared" si="2"/>
        <v>2030</v>
      </c>
      <c r="B66" s="126">
        <f t="shared" si="3"/>
        <v>5</v>
      </c>
      <c r="C66" s="125">
        <f t="shared" si="1"/>
        <v>7207.722077</v>
      </c>
      <c r="D66" s="125">
        <f t="shared" si="4"/>
        <v>4371.982108</v>
      </c>
      <c r="E66" s="125">
        <f t="shared" si="5"/>
        <v>1101039.339</v>
      </c>
    </row>
    <row r="67">
      <c r="A67" s="126">
        <f t="shared" si="2"/>
        <v>2030</v>
      </c>
      <c r="B67" s="126">
        <f t="shared" si="3"/>
        <v>6</v>
      </c>
      <c r="C67" s="125">
        <f t="shared" si="1"/>
        <v>7207.722077</v>
      </c>
      <c r="D67" s="125">
        <f t="shared" si="4"/>
        <v>4360.750942</v>
      </c>
      <c r="E67" s="125">
        <f t="shared" si="5"/>
        <v>1098192.368</v>
      </c>
    </row>
    <row r="68">
      <c r="A68" s="126">
        <f t="shared" si="2"/>
        <v>2030</v>
      </c>
      <c r="B68" s="126">
        <f t="shared" si="3"/>
        <v>7</v>
      </c>
      <c r="C68" s="125">
        <f t="shared" si="1"/>
        <v>7207.722077</v>
      </c>
      <c r="D68" s="125">
        <f t="shared" si="4"/>
        <v>4349.475294</v>
      </c>
      <c r="E68" s="125">
        <f t="shared" si="5"/>
        <v>1095334.121</v>
      </c>
    </row>
    <row r="69">
      <c r="A69" s="126">
        <f t="shared" si="2"/>
        <v>2030</v>
      </c>
      <c r="B69" s="126">
        <f t="shared" si="3"/>
        <v>8</v>
      </c>
      <c r="C69" s="125">
        <f t="shared" si="1"/>
        <v>7207.722077</v>
      </c>
      <c r="D69" s="125">
        <f t="shared" si="4"/>
        <v>4338.154988</v>
      </c>
      <c r="E69" s="125">
        <f t="shared" si="5"/>
        <v>1092464.554</v>
      </c>
    </row>
    <row r="70">
      <c r="A70" s="126">
        <f t="shared" si="2"/>
        <v>2030</v>
      </c>
      <c r="B70" s="126">
        <f t="shared" si="3"/>
        <v>9</v>
      </c>
      <c r="C70" s="125">
        <f t="shared" si="1"/>
        <v>7207.722077</v>
      </c>
      <c r="D70" s="125">
        <f t="shared" si="4"/>
        <v>4326.789847</v>
      </c>
      <c r="E70" s="125">
        <f t="shared" si="5"/>
        <v>1089583.622</v>
      </c>
    </row>
    <row r="71">
      <c r="A71" s="126">
        <f t="shared" si="2"/>
        <v>2030</v>
      </c>
      <c r="B71" s="126">
        <f t="shared" si="3"/>
        <v>10</v>
      </c>
      <c r="C71" s="125">
        <f t="shared" si="1"/>
        <v>7207.722077</v>
      </c>
      <c r="D71" s="125">
        <f t="shared" si="4"/>
        <v>4315.379694</v>
      </c>
      <c r="E71" s="125">
        <f t="shared" si="5"/>
        <v>1086691.279</v>
      </c>
    </row>
    <row r="72">
      <c r="A72" s="126">
        <f t="shared" si="2"/>
        <v>2030</v>
      </c>
      <c r="B72" s="126">
        <f t="shared" si="3"/>
        <v>11</v>
      </c>
      <c r="C72" s="125">
        <f t="shared" si="1"/>
        <v>7207.722077</v>
      </c>
      <c r="D72" s="125">
        <f t="shared" si="4"/>
        <v>4303.924349</v>
      </c>
      <c r="E72" s="125">
        <f t="shared" si="5"/>
        <v>1083787.482</v>
      </c>
    </row>
    <row r="73">
      <c r="A73" s="126">
        <f t="shared" si="2"/>
        <v>2030</v>
      </c>
      <c r="B73" s="126">
        <f t="shared" si="3"/>
        <v>12</v>
      </c>
      <c r="C73" s="125">
        <f t="shared" si="1"/>
        <v>7207.722077</v>
      </c>
      <c r="D73" s="125">
        <f t="shared" si="4"/>
        <v>4292.423635</v>
      </c>
      <c r="E73" s="125">
        <f t="shared" si="5"/>
        <v>1080872.183</v>
      </c>
    </row>
    <row r="74">
      <c r="A74" s="126">
        <f t="shared" si="2"/>
        <v>2031</v>
      </c>
      <c r="B74" s="126">
        <f t="shared" si="3"/>
        <v>1</v>
      </c>
      <c r="C74" s="125">
        <f t="shared" si="1"/>
        <v>7207.722077</v>
      </c>
      <c r="D74" s="125">
        <f t="shared" si="4"/>
        <v>4280.877371</v>
      </c>
      <c r="E74" s="125">
        <f t="shared" si="5"/>
        <v>1077945.338</v>
      </c>
    </row>
    <row r="75">
      <c r="A75" s="126">
        <f t="shared" si="2"/>
        <v>2031</v>
      </c>
      <c r="B75" s="126">
        <f t="shared" si="3"/>
        <v>2</v>
      </c>
      <c r="C75" s="125">
        <f t="shared" si="1"/>
        <v>7207.722077</v>
      </c>
      <c r="D75" s="125">
        <f t="shared" si="4"/>
        <v>4269.285378</v>
      </c>
      <c r="E75" s="125">
        <f t="shared" si="5"/>
        <v>1075006.902</v>
      </c>
    </row>
    <row r="76">
      <c r="A76" s="126">
        <f t="shared" si="2"/>
        <v>2031</v>
      </c>
      <c r="B76" s="126">
        <f t="shared" si="3"/>
        <v>3</v>
      </c>
      <c r="C76" s="125">
        <f t="shared" si="1"/>
        <v>7207.722077</v>
      </c>
      <c r="D76" s="125">
        <f t="shared" si="4"/>
        <v>4257.647474</v>
      </c>
      <c r="E76" s="125">
        <f t="shared" si="5"/>
        <v>1072056.827</v>
      </c>
    </row>
    <row r="77">
      <c r="A77" s="126">
        <f t="shared" si="2"/>
        <v>2031</v>
      </c>
      <c r="B77" s="126">
        <f t="shared" si="3"/>
        <v>4</v>
      </c>
      <c r="C77" s="125">
        <f t="shared" si="1"/>
        <v>7207.722077</v>
      </c>
      <c r="D77" s="125">
        <f t="shared" si="4"/>
        <v>4245.963476</v>
      </c>
      <c r="E77" s="125">
        <f t="shared" si="5"/>
        <v>1069095.068</v>
      </c>
    </row>
    <row r="78">
      <c r="A78" s="126">
        <f t="shared" si="2"/>
        <v>2031</v>
      </c>
      <c r="B78" s="126">
        <f t="shared" si="3"/>
        <v>5</v>
      </c>
      <c r="C78" s="125">
        <f t="shared" si="1"/>
        <v>7207.722077</v>
      </c>
      <c r="D78" s="125">
        <f t="shared" si="4"/>
        <v>4234.233204</v>
      </c>
      <c r="E78" s="125">
        <f t="shared" si="5"/>
        <v>1066121.58</v>
      </c>
    </row>
    <row r="79">
      <c r="A79" s="126">
        <f t="shared" si="2"/>
        <v>2031</v>
      </c>
      <c r="B79" s="126">
        <f t="shared" si="3"/>
        <v>6</v>
      </c>
      <c r="C79" s="125">
        <f t="shared" si="1"/>
        <v>7207.722077</v>
      </c>
      <c r="D79" s="125">
        <f t="shared" si="4"/>
        <v>4222.456472</v>
      </c>
      <c r="E79" s="125">
        <f t="shared" si="5"/>
        <v>1063136.314</v>
      </c>
    </row>
    <row r="80">
      <c r="A80" s="126">
        <f t="shared" si="2"/>
        <v>2031</v>
      </c>
      <c r="B80" s="126">
        <f t="shared" si="3"/>
        <v>7</v>
      </c>
      <c r="C80" s="125">
        <f t="shared" si="1"/>
        <v>7207.722077</v>
      </c>
      <c r="D80" s="125">
        <f t="shared" si="4"/>
        <v>4210.633098</v>
      </c>
      <c r="E80" s="125">
        <f t="shared" si="5"/>
        <v>1060139.225</v>
      </c>
    </row>
    <row r="81">
      <c r="A81" s="126">
        <f t="shared" si="2"/>
        <v>2031</v>
      </c>
      <c r="B81" s="126">
        <f t="shared" si="3"/>
        <v>8</v>
      </c>
      <c r="C81" s="125">
        <f t="shared" si="1"/>
        <v>7207.722077</v>
      </c>
      <c r="D81" s="125">
        <f t="shared" si="4"/>
        <v>4198.762897</v>
      </c>
      <c r="E81" s="125">
        <f t="shared" si="5"/>
        <v>1057130.266</v>
      </c>
    </row>
    <row r="82">
      <c r="A82" s="126">
        <f t="shared" si="2"/>
        <v>2031</v>
      </c>
      <c r="B82" s="126">
        <f t="shared" si="3"/>
        <v>9</v>
      </c>
      <c r="C82" s="125">
        <f t="shared" si="1"/>
        <v>7207.722077</v>
      </c>
      <c r="D82" s="125">
        <f t="shared" si="4"/>
        <v>4186.845683</v>
      </c>
      <c r="E82" s="125">
        <f t="shared" si="5"/>
        <v>1054109.389</v>
      </c>
    </row>
    <row r="83">
      <c r="A83" s="126">
        <f t="shared" si="2"/>
        <v>2031</v>
      </c>
      <c r="B83" s="126">
        <f t="shared" si="3"/>
        <v>10</v>
      </c>
      <c r="C83" s="125">
        <f t="shared" si="1"/>
        <v>7207.722077</v>
      </c>
      <c r="D83" s="125">
        <f t="shared" si="4"/>
        <v>4174.88127</v>
      </c>
      <c r="E83" s="125">
        <f t="shared" si="5"/>
        <v>1051076.549</v>
      </c>
    </row>
    <row r="84">
      <c r="A84" s="126">
        <f t="shared" si="2"/>
        <v>2031</v>
      </c>
      <c r="B84" s="126">
        <f t="shared" si="3"/>
        <v>11</v>
      </c>
      <c r="C84" s="125">
        <f t="shared" si="1"/>
        <v>7207.722077</v>
      </c>
      <c r="D84" s="125">
        <f t="shared" si="4"/>
        <v>4162.869471</v>
      </c>
      <c r="E84" s="125">
        <f t="shared" si="5"/>
        <v>1048031.696</v>
      </c>
    </row>
    <row r="85">
      <c r="A85" s="126">
        <f t="shared" si="2"/>
        <v>2031</v>
      </c>
      <c r="B85" s="126">
        <f t="shared" si="3"/>
        <v>12</v>
      </c>
      <c r="C85" s="125">
        <f t="shared" si="1"/>
        <v>7207.722077</v>
      </c>
      <c r="D85" s="125">
        <f t="shared" si="4"/>
        <v>4150.810098</v>
      </c>
      <c r="E85" s="125">
        <f t="shared" si="5"/>
        <v>1044974.784</v>
      </c>
    </row>
    <row r="86">
      <c r="A86" s="126">
        <f t="shared" si="2"/>
        <v>2032</v>
      </c>
      <c r="B86" s="126">
        <f t="shared" si="3"/>
        <v>1</v>
      </c>
      <c r="C86" s="125">
        <f t="shared" si="1"/>
        <v>7207.722077</v>
      </c>
      <c r="D86" s="125">
        <f t="shared" si="4"/>
        <v>4138.702963</v>
      </c>
      <c r="E86" s="125">
        <f t="shared" si="5"/>
        <v>1041905.765</v>
      </c>
    </row>
    <row r="87">
      <c r="A87" s="126">
        <f t="shared" si="2"/>
        <v>2032</v>
      </c>
      <c r="B87" s="126">
        <f t="shared" si="3"/>
        <v>2</v>
      </c>
      <c r="C87" s="125">
        <f t="shared" si="1"/>
        <v>7207.722077</v>
      </c>
      <c r="D87" s="125">
        <f t="shared" si="4"/>
        <v>4126.547877</v>
      </c>
      <c r="E87" s="125">
        <f t="shared" si="5"/>
        <v>1038824.591</v>
      </c>
    </row>
    <row r="88">
      <c r="A88" s="126">
        <f t="shared" si="2"/>
        <v>2032</v>
      </c>
      <c r="B88" s="126">
        <f t="shared" si="3"/>
        <v>3</v>
      </c>
      <c r="C88" s="125">
        <f t="shared" si="1"/>
        <v>7207.722077</v>
      </c>
      <c r="D88" s="125">
        <f t="shared" si="4"/>
        <v>4114.34465</v>
      </c>
      <c r="E88" s="125">
        <f t="shared" si="5"/>
        <v>1035731.213</v>
      </c>
    </row>
    <row r="89">
      <c r="A89" s="126">
        <f t="shared" si="2"/>
        <v>2032</v>
      </c>
      <c r="B89" s="126">
        <f t="shared" si="3"/>
        <v>4</v>
      </c>
      <c r="C89" s="125">
        <f t="shared" si="1"/>
        <v>7207.722077</v>
      </c>
      <c r="D89" s="125">
        <f t="shared" si="4"/>
        <v>4102.09309</v>
      </c>
      <c r="E89" s="125">
        <f t="shared" si="5"/>
        <v>1032625.584</v>
      </c>
    </row>
    <row r="90">
      <c r="A90" s="126">
        <f t="shared" si="2"/>
        <v>2032</v>
      </c>
      <c r="B90" s="126">
        <f t="shared" si="3"/>
        <v>5</v>
      </c>
      <c r="C90" s="125">
        <f t="shared" si="1"/>
        <v>7207.722077</v>
      </c>
      <c r="D90" s="125">
        <f t="shared" si="4"/>
        <v>4089.793008</v>
      </c>
      <c r="E90" s="125">
        <f t="shared" si="5"/>
        <v>1029507.655</v>
      </c>
    </row>
    <row r="91">
      <c r="A91" s="126">
        <f t="shared" si="2"/>
        <v>2032</v>
      </c>
      <c r="B91" s="126">
        <f t="shared" si="3"/>
        <v>6</v>
      </c>
      <c r="C91" s="125">
        <f t="shared" si="1"/>
        <v>7207.722077</v>
      </c>
      <c r="D91" s="125">
        <f t="shared" si="4"/>
        <v>4077.44421</v>
      </c>
      <c r="E91" s="125">
        <f t="shared" si="5"/>
        <v>1026377.377</v>
      </c>
    </row>
    <row r="92">
      <c r="A92" s="126">
        <f t="shared" si="2"/>
        <v>2032</v>
      </c>
      <c r="B92" s="126">
        <f t="shared" si="3"/>
        <v>7</v>
      </c>
      <c r="C92" s="125">
        <f t="shared" si="1"/>
        <v>7207.722077</v>
      </c>
      <c r="D92" s="125">
        <f t="shared" si="4"/>
        <v>4065.046504</v>
      </c>
      <c r="E92" s="125">
        <f t="shared" si="5"/>
        <v>1023234.702</v>
      </c>
    </row>
    <row r="93">
      <c r="A93" s="126">
        <f t="shared" si="2"/>
        <v>2032</v>
      </c>
      <c r="B93" s="126">
        <f t="shared" si="3"/>
        <v>8</v>
      </c>
      <c r="C93" s="125">
        <f t="shared" si="1"/>
        <v>7207.722077</v>
      </c>
      <c r="D93" s="125">
        <f t="shared" si="4"/>
        <v>4052.599696</v>
      </c>
      <c r="E93" s="125">
        <f t="shared" si="5"/>
        <v>1020079.579</v>
      </c>
    </row>
    <row r="94">
      <c r="A94" s="126">
        <f t="shared" si="2"/>
        <v>2032</v>
      </c>
      <c r="B94" s="126">
        <f t="shared" si="3"/>
        <v>9</v>
      </c>
      <c r="C94" s="125">
        <f t="shared" si="1"/>
        <v>7207.722077</v>
      </c>
      <c r="D94" s="125">
        <f t="shared" si="4"/>
        <v>4040.103591</v>
      </c>
      <c r="E94" s="125">
        <f t="shared" si="5"/>
        <v>1016911.961</v>
      </c>
    </row>
    <row r="95">
      <c r="A95" s="126">
        <f t="shared" si="2"/>
        <v>2032</v>
      </c>
      <c r="B95" s="126">
        <f t="shared" si="3"/>
        <v>10</v>
      </c>
      <c r="C95" s="125">
        <f t="shared" si="1"/>
        <v>7207.722077</v>
      </c>
      <c r="D95" s="125">
        <f t="shared" si="4"/>
        <v>4027.557995</v>
      </c>
      <c r="E95" s="125">
        <f t="shared" si="5"/>
        <v>1013731.797</v>
      </c>
    </row>
    <row r="96">
      <c r="A96" s="126">
        <f t="shared" si="2"/>
        <v>2032</v>
      </c>
      <c r="B96" s="126">
        <f t="shared" si="3"/>
        <v>11</v>
      </c>
      <c r="C96" s="125">
        <f t="shared" si="1"/>
        <v>7207.722077</v>
      </c>
      <c r="D96" s="125">
        <f t="shared" si="4"/>
        <v>4014.96271</v>
      </c>
      <c r="E96" s="125">
        <f t="shared" si="5"/>
        <v>1010539.038</v>
      </c>
    </row>
    <row r="97">
      <c r="A97" s="126">
        <f t="shared" si="2"/>
        <v>2032</v>
      </c>
      <c r="B97" s="126">
        <f t="shared" si="3"/>
        <v>12</v>
      </c>
      <c r="C97" s="125">
        <f t="shared" si="1"/>
        <v>7207.722077</v>
      </c>
      <c r="D97" s="125">
        <f t="shared" si="4"/>
        <v>4002.317542</v>
      </c>
      <c r="E97" s="125">
        <f t="shared" si="5"/>
        <v>1007333.633</v>
      </c>
    </row>
    <row r="98">
      <c r="A98" s="126">
        <f t="shared" si="2"/>
        <v>2033</v>
      </c>
      <c r="B98" s="126">
        <f t="shared" si="3"/>
        <v>1</v>
      </c>
      <c r="C98" s="125">
        <f t="shared" si="1"/>
        <v>7207.722077</v>
      </c>
      <c r="D98" s="125">
        <f t="shared" si="4"/>
        <v>3989.622291</v>
      </c>
      <c r="E98" s="125">
        <f t="shared" si="5"/>
        <v>1004115.533</v>
      </c>
    </row>
    <row r="99">
      <c r="A99" s="126">
        <f t="shared" si="2"/>
        <v>2033</v>
      </c>
      <c r="B99" s="126">
        <f t="shared" si="3"/>
        <v>2</v>
      </c>
      <c r="C99" s="125">
        <f t="shared" si="1"/>
        <v>7207.722077</v>
      </c>
      <c r="D99" s="125">
        <f t="shared" si="4"/>
        <v>3976.876759</v>
      </c>
      <c r="E99" s="125">
        <f t="shared" si="5"/>
        <v>1000884.688</v>
      </c>
    </row>
    <row r="100">
      <c r="A100" s="126">
        <f t="shared" si="2"/>
        <v>2033</v>
      </c>
      <c r="B100" s="126">
        <f t="shared" si="3"/>
        <v>3</v>
      </c>
      <c r="C100" s="125">
        <f t="shared" si="1"/>
        <v>7207.722077</v>
      </c>
      <c r="D100" s="125">
        <f t="shared" si="4"/>
        <v>3964.080748</v>
      </c>
      <c r="E100" s="125">
        <f t="shared" si="5"/>
        <v>997641.0465</v>
      </c>
    </row>
    <row r="101">
      <c r="A101" s="126">
        <f t="shared" si="2"/>
        <v>2033</v>
      </c>
      <c r="B101" s="126">
        <f t="shared" si="3"/>
        <v>4</v>
      </c>
      <c r="C101" s="125">
        <f t="shared" si="1"/>
        <v>7207.722077</v>
      </c>
      <c r="D101" s="125">
        <f t="shared" si="4"/>
        <v>3951.234057</v>
      </c>
      <c r="E101" s="125">
        <f t="shared" si="5"/>
        <v>994384.5585</v>
      </c>
    </row>
    <row r="102">
      <c r="A102" s="126">
        <f t="shared" si="2"/>
        <v>2033</v>
      </c>
      <c r="B102" s="126">
        <f t="shared" si="3"/>
        <v>5</v>
      </c>
      <c r="C102" s="125">
        <f t="shared" si="1"/>
        <v>7207.722077</v>
      </c>
      <c r="D102" s="125">
        <f t="shared" si="4"/>
        <v>3938.336486</v>
      </c>
      <c r="E102" s="125">
        <f t="shared" si="5"/>
        <v>991115.1729</v>
      </c>
    </row>
    <row r="103">
      <c r="A103" s="126">
        <f t="shared" si="2"/>
        <v>2033</v>
      </c>
      <c r="B103" s="126">
        <f t="shared" si="3"/>
        <v>6</v>
      </c>
      <c r="C103" s="125">
        <f t="shared" si="1"/>
        <v>7207.722077</v>
      </c>
      <c r="D103" s="125">
        <f t="shared" si="4"/>
        <v>3925.387833</v>
      </c>
      <c r="E103" s="125">
        <f t="shared" si="5"/>
        <v>987832.8387</v>
      </c>
    </row>
    <row r="104">
      <c r="A104" s="126">
        <f t="shared" si="2"/>
        <v>2033</v>
      </c>
      <c r="B104" s="126">
        <f t="shared" si="3"/>
        <v>7</v>
      </c>
      <c r="C104" s="125">
        <f t="shared" si="1"/>
        <v>7207.722077</v>
      </c>
      <c r="D104" s="125">
        <f t="shared" si="4"/>
        <v>3912.387896</v>
      </c>
      <c r="E104" s="125">
        <f t="shared" si="5"/>
        <v>984537.5045</v>
      </c>
    </row>
    <row r="105">
      <c r="A105" s="126">
        <f t="shared" si="2"/>
        <v>2033</v>
      </c>
      <c r="B105" s="126">
        <f t="shared" si="3"/>
        <v>8</v>
      </c>
      <c r="C105" s="125">
        <f t="shared" si="1"/>
        <v>7207.722077</v>
      </c>
      <c r="D105" s="125">
        <f t="shared" si="4"/>
        <v>3899.336471</v>
      </c>
      <c r="E105" s="125">
        <f t="shared" si="5"/>
        <v>981229.1189</v>
      </c>
    </row>
    <row r="106">
      <c r="A106" s="126">
        <f t="shared" si="2"/>
        <v>2033</v>
      </c>
      <c r="B106" s="126">
        <f t="shared" si="3"/>
        <v>9</v>
      </c>
      <c r="C106" s="125">
        <f t="shared" si="1"/>
        <v>7207.722077</v>
      </c>
      <c r="D106" s="125">
        <f t="shared" si="4"/>
        <v>3886.233356</v>
      </c>
      <c r="E106" s="125">
        <f t="shared" si="5"/>
        <v>977907.6302</v>
      </c>
    </row>
    <row r="107">
      <c r="A107" s="126">
        <f t="shared" si="2"/>
        <v>2033</v>
      </c>
      <c r="B107" s="126">
        <f t="shared" si="3"/>
        <v>10</v>
      </c>
      <c r="C107" s="125">
        <f t="shared" si="1"/>
        <v>7207.722077</v>
      </c>
      <c r="D107" s="125">
        <f t="shared" si="4"/>
        <v>3873.078344</v>
      </c>
      <c r="E107" s="125">
        <f t="shared" si="5"/>
        <v>974572.9864</v>
      </c>
    </row>
    <row r="108">
      <c r="A108" s="126">
        <f t="shared" si="2"/>
        <v>2033</v>
      </c>
      <c r="B108" s="126">
        <f t="shared" si="3"/>
        <v>11</v>
      </c>
      <c r="C108" s="125">
        <f t="shared" si="1"/>
        <v>7207.722077</v>
      </c>
      <c r="D108" s="125">
        <f t="shared" si="4"/>
        <v>3859.871231</v>
      </c>
      <c r="E108" s="125">
        <f t="shared" si="5"/>
        <v>971225.1356</v>
      </c>
    </row>
    <row r="109">
      <c r="A109" s="126">
        <f t="shared" si="2"/>
        <v>2033</v>
      </c>
      <c r="B109" s="126">
        <f t="shared" si="3"/>
        <v>12</v>
      </c>
      <c r="C109" s="125">
        <f t="shared" si="1"/>
        <v>7207.722077</v>
      </c>
      <c r="D109" s="125">
        <f t="shared" si="4"/>
        <v>3846.611811</v>
      </c>
      <c r="E109" s="125">
        <f t="shared" si="5"/>
        <v>967864.0253</v>
      </c>
    </row>
    <row r="110">
      <c r="A110" s="126">
        <f t="shared" si="2"/>
        <v>2034</v>
      </c>
      <c r="B110" s="126">
        <f t="shared" si="3"/>
        <v>1</v>
      </c>
      <c r="C110" s="125">
        <f t="shared" si="1"/>
        <v>7207.722077</v>
      </c>
      <c r="D110" s="125">
        <f t="shared" si="4"/>
        <v>3833.299875</v>
      </c>
      <c r="E110" s="125">
        <f t="shared" si="5"/>
        <v>964489.6031</v>
      </c>
    </row>
    <row r="111">
      <c r="A111" s="126">
        <f t="shared" si="2"/>
        <v>2034</v>
      </c>
      <c r="B111" s="126">
        <f t="shared" si="3"/>
        <v>2</v>
      </c>
      <c r="C111" s="125">
        <f t="shared" si="1"/>
        <v>7207.722077</v>
      </c>
      <c r="D111" s="125">
        <f t="shared" si="4"/>
        <v>3819.935217</v>
      </c>
      <c r="E111" s="125">
        <f t="shared" si="5"/>
        <v>961101.8163</v>
      </c>
    </row>
    <row r="112">
      <c r="A112" s="126">
        <f t="shared" si="2"/>
        <v>2034</v>
      </c>
      <c r="B112" s="126">
        <f t="shared" si="3"/>
        <v>3</v>
      </c>
      <c r="C112" s="125">
        <f t="shared" si="1"/>
        <v>7207.722077</v>
      </c>
      <c r="D112" s="125">
        <f t="shared" si="4"/>
        <v>3806.517626</v>
      </c>
      <c r="E112" s="125">
        <f t="shared" si="5"/>
        <v>957700.6118</v>
      </c>
    </row>
    <row r="113">
      <c r="A113" s="126">
        <f t="shared" si="2"/>
        <v>2034</v>
      </c>
      <c r="B113" s="126">
        <f t="shared" si="3"/>
        <v>4</v>
      </c>
      <c r="C113" s="125">
        <f t="shared" si="1"/>
        <v>7207.722077</v>
      </c>
      <c r="D113" s="125">
        <f t="shared" si="4"/>
        <v>3793.046895</v>
      </c>
      <c r="E113" s="125">
        <f t="shared" si="5"/>
        <v>954285.9366</v>
      </c>
    </row>
    <row r="114">
      <c r="A114" s="126">
        <f t="shared" si="2"/>
        <v>2034</v>
      </c>
      <c r="B114" s="126">
        <f t="shared" si="3"/>
        <v>5</v>
      </c>
      <c r="C114" s="125">
        <f t="shared" si="1"/>
        <v>7207.722077</v>
      </c>
      <c r="D114" s="125">
        <f t="shared" si="4"/>
        <v>3779.522811</v>
      </c>
      <c r="E114" s="125">
        <f t="shared" si="5"/>
        <v>950857.7374</v>
      </c>
    </row>
    <row r="115">
      <c r="A115" s="126">
        <f t="shared" si="2"/>
        <v>2034</v>
      </c>
      <c r="B115" s="126">
        <f t="shared" si="3"/>
        <v>6</v>
      </c>
      <c r="C115" s="125">
        <f t="shared" si="1"/>
        <v>7207.722077</v>
      </c>
      <c r="D115" s="125">
        <f t="shared" si="4"/>
        <v>3765.945164</v>
      </c>
      <c r="E115" s="125">
        <f t="shared" si="5"/>
        <v>947415.9604</v>
      </c>
    </row>
    <row r="116">
      <c r="A116" s="126">
        <f t="shared" si="2"/>
        <v>2034</v>
      </c>
      <c r="B116" s="126">
        <f t="shared" si="3"/>
        <v>7</v>
      </c>
      <c r="C116" s="125">
        <f t="shared" si="1"/>
        <v>7207.722077</v>
      </c>
      <c r="D116" s="125">
        <f t="shared" si="4"/>
        <v>3752.313742</v>
      </c>
      <c r="E116" s="125">
        <f t="shared" si="5"/>
        <v>943960.5521</v>
      </c>
    </row>
    <row r="117">
      <c r="A117" s="126">
        <f t="shared" si="2"/>
        <v>2034</v>
      </c>
      <c r="B117" s="126">
        <f t="shared" si="3"/>
        <v>8</v>
      </c>
      <c r="C117" s="125">
        <f t="shared" si="1"/>
        <v>7207.722077</v>
      </c>
      <c r="D117" s="125">
        <f t="shared" si="4"/>
        <v>3738.628332</v>
      </c>
      <c r="E117" s="125">
        <f t="shared" si="5"/>
        <v>940491.4584</v>
      </c>
    </row>
    <row r="118">
      <c r="A118" s="126">
        <f t="shared" si="2"/>
        <v>2034</v>
      </c>
      <c r="B118" s="126">
        <f t="shared" si="3"/>
        <v>9</v>
      </c>
      <c r="C118" s="125">
        <f t="shared" si="1"/>
        <v>7207.722077</v>
      </c>
      <c r="D118" s="125">
        <f t="shared" si="4"/>
        <v>3724.88872</v>
      </c>
      <c r="E118" s="125">
        <f t="shared" si="5"/>
        <v>937008.625</v>
      </c>
    </row>
    <row r="119">
      <c r="A119" s="126">
        <f t="shared" si="2"/>
        <v>2034</v>
      </c>
      <c r="B119" s="126">
        <f t="shared" si="3"/>
        <v>10</v>
      </c>
      <c r="C119" s="125">
        <f t="shared" si="1"/>
        <v>7207.722077</v>
      </c>
      <c r="D119" s="125">
        <f t="shared" si="4"/>
        <v>3711.09469</v>
      </c>
      <c r="E119" s="125">
        <f t="shared" si="5"/>
        <v>933511.9976</v>
      </c>
    </row>
    <row r="120">
      <c r="A120" s="126">
        <f t="shared" si="2"/>
        <v>2034</v>
      </c>
      <c r="B120" s="126">
        <f t="shared" si="3"/>
        <v>11</v>
      </c>
      <c r="C120" s="125">
        <f t="shared" si="1"/>
        <v>7207.722077</v>
      </c>
      <c r="D120" s="125">
        <f t="shared" si="4"/>
        <v>3697.246029</v>
      </c>
      <c r="E120" s="125">
        <f t="shared" si="5"/>
        <v>930001.5216</v>
      </c>
    </row>
    <row r="121">
      <c r="A121" s="126">
        <f t="shared" si="2"/>
        <v>2034</v>
      </c>
      <c r="B121" s="126">
        <f t="shared" si="3"/>
        <v>12</v>
      </c>
      <c r="C121" s="125">
        <f t="shared" si="1"/>
        <v>7207.722077</v>
      </c>
      <c r="D121" s="125">
        <f t="shared" si="4"/>
        <v>3683.342519</v>
      </c>
      <c r="E121" s="125">
        <f t="shared" si="5"/>
        <v>926477.142</v>
      </c>
    </row>
    <row r="122">
      <c r="A122" s="126">
        <f t="shared" si="2"/>
        <v>2035</v>
      </c>
      <c r="B122" s="126">
        <f t="shared" si="3"/>
        <v>1</v>
      </c>
      <c r="C122" s="125">
        <f t="shared" si="1"/>
        <v>7207.722077</v>
      </c>
      <c r="D122" s="125">
        <f t="shared" si="4"/>
        <v>3669.383942</v>
      </c>
      <c r="E122" s="125">
        <f t="shared" si="5"/>
        <v>922938.8039</v>
      </c>
    </row>
    <row r="123">
      <c r="A123" s="126">
        <f t="shared" si="2"/>
        <v>2035</v>
      </c>
      <c r="B123" s="126">
        <f t="shared" si="3"/>
        <v>2</v>
      </c>
      <c r="C123" s="125">
        <f t="shared" si="1"/>
        <v>7207.722077</v>
      </c>
      <c r="D123" s="125">
        <f t="shared" si="4"/>
        <v>3655.370082</v>
      </c>
      <c r="E123" s="125">
        <f t="shared" si="5"/>
        <v>919386.4519</v>
      </c>
    </row>
    <row r="124">
      <c r="A124" s="126">
        <f t="shared" si="2"/>
        <v>2035</v>
      </c>
      <c r="B124" s="126">
        <f t="shared" si="3"/>
        <v>3</v>
      </c>
      <c r="C124" s="125">
        <f t="shared" si="1"/>
        <v>7207.722077</v>
      </c>
      <c r="D124" s="125">
        <f t="shared" si="4"/>
        <v>3641.300719</v>
      </c>
      <c r="E124" s="125">
        <f t="shared" si="5"/>
        <v>915820.0305</v>
      </c>
    </row>
    <row r="125">
      <c r="A125" s="126">
        <f t="shared" si="2"/>
        <v>2035</v>
      </c>
      <c r="B125" s="126">
        <f t="shared" si="3"/>
        <v>4</v>
      </c>
      <c r="C125" s="125">
        <f t="shared" si="1"/>
        <v>7207.722077</v>
      </c>
      <c r="D125" s="125">
        <f t="shared" si="4"/>
        <v>3627.175633</v>
      </c>
      <c r="E125" s="125">
        <f t="shared" si="5"/>
        <v>912239.4841</v>
      </c>
    </row>
    <row r="126">
      <c r="A126" s="126">
        <f t="shared" si="2"/>
        <v>2035</v>
      </c>
      <c r="B126" s="126">
        <f t="shared" si="3"/>
        <v>5</v>
      </c>
      <c r="C126" s="125">
        <f t="shared" si="1"/>
        <v>7207.722077</v>
      </c>
      <c r="D126" s="125">
        <f t="shared" si="4"/>
        <v>3612.994604</v>
      </c>
      <c r="E126" s="125">
        <f t="shared" si="5"/>
        <v>908644.7566</v>
      </c>
    </row>
    <row r="127">
      <c r="A127" s="126">
        <f t="shared" si="2"/>
        <v>2035</v>
      </c>
      <c r="B127" s="126">
        <f t="shared" si="3"/>
        <v>6</v>
      </c>
      <c r="C127" s="125">
        <f t="shared" si="1"/>
        <v>7207.722077</v>
      </c>
      <c r="D127" s="125">
        <f t="shared" si="4"/>
        <v>3598.757409</v>
      </c>
      <c r="E127" s="125">
        <f t="shared" si="5"/>
        <v>905035.7919</v>
      </c>
    </row>
    <row r="128">
      <c r="A128" s="126">
        <f t="shared" si="2"/>
        <v>2035</v>
      </c>
      <c r="B128" s="126">
        <f t="shared" si="3"/>
        <v>7</v>
      </c>
      <c r="C128" s="125">
        <f t="shared" si="1"/>
        <v>7207.722077</v>
      </c>
      <c r="D128" s="125">
        <f t="shared" si="4"/>
        <v>3584.463827</v>
      </c>
      <c r="E128" s="125">
        <f t="shared" si="5"/>
        <v>901412.5337</v>
      </c>
    </row>
    <row r="129">
      <c r="A129" s="126">
        <f t="shared" si="2"/>
        <v>2035</v>
      </c>
      <c r="B129" s="126">
        <f t="shared" si="3"/>
        <v>8</v>
      </c>
      <c r="C129" s="125">
        <f t="shared" si="1"/>
        <v>7207.722077</v>
      </c>
      <c r="D129" s="125">
        <f t="shared" si="4"/>
        <v>3570.113634</v>
      </c>
      <c r="E129" s="125">
        <f t="shared" si="5"/>
        <v>897774.9252</v>
      </c>
    </row>
    <row r="130">
      <c r="A130" s="126">
        <f t="shared" si="2"/>
        <v>2035</v>
      </c>
      <c r="B130" s="126">
        <f t="shared" si="3"/>
        <v>9</v>
      </c>
      <c r="C130" s="125">
        <f t="shared" si="1"/>
        <v>7207.722077</v>
      </c>
      <c r="D130" s="125">
        <f t="shared" si="4"/>
        <v>3555.706606</v>
      </c>
      <c r="E130" s="125">
        <f t="shared" si="5"/>
        <v>894122.9098</v>
      </c>
    </row>
    <row r="131">
      <c r="A131" s="126">
        <f t="shared" si="2"/>
        <v>2035</v>
      </c>
      <c r="B131" s="126">
        <f t="shared" si="3"/>
        <v>10</v>
      </c>
      <c r="C131" s="125">
        <f t="shared" si="1"/>
        <v>7207.722077</v>
      </c>
      <c r="D131" s="125">
        <f t="shared" si="4"/>
        <v>3541.242518</v>
      </c>
      <c r="E131" s="125">
        <f t="shared" si="5"/>
        <v>890456.4302</v>
      </c>
    </row>
    <row r="132">
      <c r="A132" s="126">
        <f t="shared" si="2"/>
        <v>2035</v>
      </c>
      <c r="B132" s="126">
        <f t="shared" si="3"/>
        <v>11</v>
      </c>
      <c r="C132" s="125">
        <f t="shared" si="1"/>
        <v>7207.722077</v>
      </c>
      <c r="D132" s="125">
        <f t="shared" si="4"/>
        <v>3526.721144</v>
      </c>
      <c r="E132" s="125">
        <f t="shared" si="5"/>
        <v>886775.4293</v>
      </c>
    </row>
    <row r="133">
      <c r="A133" s="126">
        <f t="shared" si="2"/>
        <v>2035</v>
      </c>
      <c r="B133" s="126">
        <f t="shared" si="3"/>
        <v>12</v>
      </c>
      <c r="C133" s="125">
        <f t="shared" si="1"/>
        <v>7207.722077</v>
      </c>
      <c r="D133" s="125">
        <f t="shared" si="4"/>
        <v>3512.142257</v>
      </c>
      <c r="E133" s="125">
        <f t="shared" si="5"/>
        <v>883079.8495</v>
      </c>
    </row>
    <row r="134">
      <c r="A134" s="126">
        <f t="shared" si="2"/>
        <v>2036</v>
      </c>
      <c r="B134" s="126">
        <f t="shared" si="3"/>
        <v>1</v>
      </c>
      <c r="C134" s="125">
        <f t="shared" si="1"/>
        <v>7207.722077</v>
      </c>
      <c r="D134" s="125">
        <f t="shared" si="4"/>
        <v>3497.505629</v>
      </c>
      <c r="E134" s="125">
        <f t="shared" si="5"/>
        <v>879369.633</v>
      </c>
    </row>
    <row r="135">
      <c r="A135" s="126">
        <f t="shared" si="2"/>
        <v>2036</v>
      </c>
      <c r="B135" s="126">
        <f t="shared" si="3"/>
        <v>2</v>
      </c>
      <c r="C135" s="125">
        <f t="shared" si="1"/>
        <v>7207.722077</v>
      </c>
      <c r="D135" s="125">
        <f t="shared" si="4"/>
        <v>3482.811032</v>
      </c>
      <c r="E135" s="125">
        <f t="shared" si="5"/>
        <v>875644.722</v>
      </c>
    </row>
    <row r="136">
      <c r="A136" s="126">
        <f t="shared" si="2"/>
        <v>2036</v>
      </c>
      <c r="B136" s="126">
        <f t="shared" si="3"/>
        <v>3</v>
      </c>
      <c r="C136" s="125">
        <f t="shared" si="1"/>
        <v>7207.722077</v>
      </c>
      <c r="D136" s="125">
        <f t="shared" si="4"/>
        <v>3468.058235</v>
      </c>
      <c r="E136" s="125">
        <f t="shared" si="5"/>
        <v>871905.0581</v>
      </c>
    </row>
    <row r="137">
      <c r="A137" s="126">
        <f t="shared" si="2"/>
        <v>2036</v>
      </c>
      <c r="B137" s="126">
        <f t="shared" si="3"/>
        <v>4</v>
      </c>
      <c r="C137" s="125">
        <f t="shared" si="1"/>
        <v>7207.722077</v>
      </c>
      <c r="D137" s="125">
        <f t="shared" si="4"/>
        <v>3453.247009</v>
      </c>
      <c r="E137" s="125">
        <f t="shared" si="5"/>
        <v>868150.5831</v>
      </c>
    </row>
    <row r="138">
      <c r="A138" s="126">
        <f t="shared" si="2"/>
        <v>2036</v>
      </c>
      <c r="B138" s="126">
        <f t="shared" si="3"/>
        <v>5</v>
      </c>
      <c r="C138" s="125">
        <f t="shared" si="1"/>
        <v>7207.722077</v>
      </c>
      <c r="D138" s="125">
        <f t="shared" si="4"/>
        <v>3438.377122</v>
      </c>
      <c r="E138" s="125">
        <f t="shared" si="5"/>
        <v>864381.2381</v>
      </c>
    </row>
    <row r="139">
      <c r="A139" s="126">
        <f t="shared" si="2"/>
        <v>2036</v>
      </c>
      <c r="B139" s="126">
        <f t="shared" si="3"/>
        <v>6</v>
      </c>
      <c r="C139" s="125">
        <f t="shared" si="1"/>
        <v>7207.722077</v>
      </c>
      <c r="D139" s="125">
        <f t="shared" si="4"/>
        <v>3423.448341</v>
      </c>
      <c r="E139" s="125">
        <f t="shared" si="5"/>
        <v>860596.9644</v>
      </c>
    </row>
    <row r="140">
      <c r="A140" s="126">
        <f t="shared" si="2"/>
        <v>2036</v>
      </c>
      <c r="B140" s="126">
        <f t="shared" si="3"/>
        <v>7</v>
      </c>
      <c r="C140" s="125">
        <f t="shared" si="1"/>
        <v>7207.722077</v>
      </c>
      <c r="D140" s="125">
        <f t="shared" si="4"/>
        <v>3408.460434</v>
      </c>
      <c r="E140" s="125">
        <f t="shared" si="5"/>
        <v>856797.7027</v>
      </c>
    </row>
    <row r="141">
      <c r="A141" s="126">
        <f t="shared" si="2"/>
        <v>2036</v>
      </c>
      <c r="B141" s="126">
        <f t="shared" si="3"/>
        <v>8</v>
      </c>
      <c r="C141" s="125">
        <f t="shared" si="1"/>
        <v>7207.722077</v>
      </c>
      <c r="D141" s="125">
        <f t="shared" si="4"/>
        <v>3393.413167</v>
      </c>
      <c r="E141" s="125">
        <f t="shared" si="5"/>
        <v>852983.3938</v>
      </c>
    </row>
    <row r="142">
      <c r="A142" s="126">
        <f t="shared" si="2"/>
        <v>2036</v>
      </c>
      <c r="B142" s="126">
        <f t="shared" si="3"/>
        <v>9</v>
      </c>
      <c r="C142" s="125">
        <f t="shared" si="1"/>
        <v>7207.722077</v>
      </c>
      <c r="D142" s="125">
        <f t="shared" si="4"/>
        <v>3378.306303</v>
      </c>
      <c r="E142" s="125">
        <f t="shared" si="5"/>
        <v>849153.978</v>
      </c>
    </row>
    <row r="143">
      <c r="A143" s="126">
        <f t="shared" si="2"/>
        <v>2036</v>
      </c>
      <c r="B143" s="126">
        <f t="shared" si="3"/>
        <v>10</v>
      </c>
      <c r="C143" s="125">
        <f t="shared" si="1"/>
        <v>7207.722077</v>
      </c>
      <c r="D143" s="125">
        <f t="shared" si="4"/>
        <v>3363.139607</v>
      </c>
      <c r="E143" s="125">
        <f t="shared" si="5"/>
        <v>845309.3956</v>
      </c>
    </row>
    <row r="144">
      <c r="A144" s="126">
        <f t="shared" si="2"/>
        <v>2036</v>
      </c>
      <c r="B144" s="126">
        <f t="shared" si="3"/>
        <v>11</v>
      </c>
      <c r="C144" s="125">
        <f t="shared" si="1"/>
        <v>7207.722077</v>
      </c>
      <c r="D144" s="125">
        <f t="shared" si="4"/>
        <v>3347.912843</v>
      </c>
      <c r="E144" s="125">
        <f t="shared" si="5"/>
        <v>841449.5863</v>
      </c>
    </row>
    <row r="145">
      <c r="A145" s="126">
        <f t="shared" si="2"/>
        <v>2036</v>
      </c>
      <c r="B145" s="126">
        <f t="shared" si="3"/>
        <v>12</v>
      </c>
      <c r="C145" s="125">
        <f t="shared" si="1"/>
        <v>7207.722077</v>
      </c>
      <c r="D145" s="125">
        <f t="shared" si="4"/>
        <v>3332.625772</v>
      </c>
      <c r="E145" s="125">
        <f t="shared" si="5"/>
        <v>837574.49</v>
      </c>
    </row>
    <row r="146">
      <c r="A146" s="126">
        <f t="shared" si="2"/>
        <v>2037</v>
      </c>
      <c r="B146" s="126">
        <f t="shared" si="3"/>
        <v>1</v>
      </c>
      <c r="C146" s="125">
        <f t="shared" si="1"/>
        <v>7207.722077</v>
      </c>
      <c r="D146" s="125">
        <f t="shared" si="4"/>
        <v>3317.278155</v>
      </c>
      <c r="E146" s="125">
        <f t="shared" si="5"/>
        <v>833684.0461</v>
      </c>
    </row>
    <row r="147">
      <c r="A147" s="126">
        <f t="shared" si="2"/>
        <v>2037</v>
      </c>
      <c r="B147" s="126">
        <f t="shared" si="3"/>
        <v>2</v>
      </c>
      <c r="C147" s="125">
        <f t="shared" si="1"/>
        <v>7207.722077</v>
      </c>
      <c r="D147" s="125">
        <f t="shared" si="4"/>
        <v>3301.869753</v>
      </c>
      <c r="E147" s="125">
        <f t="shared" si="5"/>
        <v>829778.1938</v>
      </c>
    </row>
    <row r="148">
      <c r="A148" s="126">
        <f t="shared" si="2"/>
        <v>2037</v>
      </c>
      <c r="B148" s="126">
        <f t="shared" si="3"/>
        <v>3</v>
      </c>
      <c r="C148" s="125">
        <f t="shared" si="1"/>
        <v>7207.722077</v>
      </c>
      <c r="D148" s="125">
        <f t="shared" si="4"/>
        <v>3286.400324</v>
      </c>
      <c r="E148" s="125">
        <f t="shared" si="5"/>
        <v>825856.872</v>
      </c>
    </row>
    <row r="149">
      <c r="A149" s="126">
        <f t="shared" si="2"/>
        <v>2037</v>
      </c>
      <c r="B149" s="126">
        <f t="shared" si="3"/>
        <v>4</v>
      </c>
      <c r="C149" s="125">
        <f t="shared" si="1"/>
        <v>7207.722077</v>
      </c>
      <c r="D149" s="125">
        <f t="shared" si="4"/>
        <v>3270.869628</v>
      </c>
      <c r="E149" s="125">
        <f t="shared" si="5"/>
        <v>821920.0196</v>
      </c>
    </row>
    <row r="150">
      <c r="A150" s="126">
        <f t="shared" si="2"/>
        <v>2037</v>
      </c>
      <c r="B150" s="126">
        <f t="shared" si="3"/>
        <v>5</v>
      </c>
      <c r="C150" s="125">
        <f t="shared" si="1"/>
        <v>7207.722077</v>
      </c>
      <c r="D150" s="125">
        <f t="shared" si="4"/>
        <v>3255.277421</v>
      </c>
      <c r="E150" s="125">
        <f t="shared" si="5"/>
        <v>817967.5749</v>
      </c>
    </row>
    <row r="151">
      <c r="A151" s="126">
        <f t="shared" si="2"/>
        <v>2037</v>
      </c>
      <c r="B151" s="126">
        <f t="shared" si="3"/>
        <v>6</v>
      </c>
      <c r="C151" s="125">
        <f t="shared" si="1"/>
        <v>7207.722077</v>
      </c>
      <c r="D151" s="125">
        <f t="shared" si="4"/>
        <v>3239.62346</v>
      </c>
      <c r="E151" s="125">
        <f t="shared" si="5"/>
        <v>813999.4763</v>
      </c>
    </row>
    <row r="152">
      <c r="A152" s="126">
        <f t="shared" si="2"/>
        <v>2037</v>
      </c>
      <c r="B152" s="126">
        <f t="shared" si="3"/>
        <v>7</v>
      </c>
      <c r="C152" s="125">
        <f t="shared" si="1"/>
        <v>7207.722077</v>
      </c>
      <c r="D152" s="125">
        <f t="shared" si="4"/>
        <v>3223.907501</v>
      </c>
      <c r="E152" s="125">
        <f t="shared" si="5"/>
        <v>810015.6617</v>
      </c>
    </row>
    <row r="153">
      <c r="A153" s="126">
        <f t="shared" si="2"/>
        <v>2037</v>
      </c>
      <c r="B153" s="126">
        <f t="shared" si="3"/>
        <v>8</v>
      </c>
      <c r="C153" s="125">
        <f t="shared" si="1"/>
        <v>7207.722077</v>
      </c>
      <c r="D153" s="125">
        <f t="shared" si="4"/>
        <v>3208.129297</v>
      </c>
      <c r="E153" s="125">
        <f t="shared" si="5"/>
        <v>806016.069</v>
      </c>
    </row>
    <row r="154">
      <c r="A154" s="126">
        <f t="shared" si="2"/>
        <v>2037</v>
      </c>
      <c r="B154" s="126">
        <f t="shared" si="3"/>
        <v>9</v>
      </c>
      <c r="C154" s="125">
        <f t="shared" si="1"/>
        <v>7207.722077</v>
      </c>
      <c r="D154" s="125">
        <f t="shared" si="4"/>
        <v>3192.288602</v>
      </c>
      <c r="E154" s="125">
        <f t="shared" si="5"/>
        <v>802000.6355</v>
      </c>
    </row>
    <row r="155">
      <c r="A155" s="126">
        <f t="shared" si="2"/>
        <v>2037</v>
      </c>
      <c r="B155" s="126">
        <f t="shared" si="3"/>
        <v>10</v>
      </c>
      <c r="C155" s="125">
        <f t="shared" si="1"/>
        <v>7207.722077</v>
      </c>
      <c r="D155" s="125">
        <f t="shared" si="4"/>
        <v>3176.385169</v>
      </c>
      <c r="E155" s="125">
        <f t="shared" si="5"/>
        <v>797969.2986</v>
      </c>
    </row>
    <row r="156">
      <c r="A156" s="126">
        <f t="shared" si="2"/>
        <v>2037</v>
      </c>
      <c r="B156" s="126">
        <f t="shared" si="3"/>
        <v>11</v>
      </c>
      <c r="C156" s="125">
        <f t="shared" si="1"/>
        <v>7207.722077</v>
      </c>
      <c r="D156" s="125">
        <f t="shared" si="4"/>
        <v>3160.41875</v>
      </c>
      <c r="E156" s="125">
        <f t="shared" si="5"/>
        <v>793921.9952</v>
      </c>
    </row>
    <row r="157">
      <c r="A157" s="126">
        <f t="shared" si="2"/>
        <v>2037</v>
      </c>
      <c r="B157" s="126">
        <f t="shared" si="3"/>
        <v>12</v>
      </c>
      <c r="C157" s="125">
        <f t="shared" si="1"/>
        <v>7207.722077</v>
      </c>
      <c r="D157" s="125">
        <f t="shared" si="4"/>
        <v>3144.389094</v>
      </c>
      <c r="E157" s="125">
        <f t="shared" si="5"/>
        <v>789858.6623</v>
      </c>
    </row>
    <row r="158">
      <c r="A158" s="126">
        <f t="shared" si="2"/>
        <v>2038</v>
      </c>
      <c r="B158" s="126">
        <f t="shared" si="3"/>
        <v>1</v>
      </c>
      <c r="C158" s="125">
        <f t="shared" si="1"/>
        <v>7207.722077</v>
      </c>
      <c r="D158" s="125">
        <f t="shared" si="4"/>
        <v>3128.295951</v>
      </c>
      <c r="E158" s="125">
        <f t="shared" si="5"/>
        <v>785779.2361</v>
      </c>
    </row>
    <row r="159">
      <c r="A159" s="126">
        <f t="shared" si="2"/>
        <v>2038</v>
      </c>
      <c r="B159" s="126">
        <f t="shared" si="3"/>
        <v>2</v>
      </c>
      <c r="C159" s="125">
        <f t="shared" si="1"/>
        <v>7207.722077</v>
      </c>
      <c r="D159" s="125">
        <f t="shared" si="4"/>
        <v>3112.13907</v>
      </c>
      <c r="E159" s="125">
        <f t="shared" si="5"/>
        <v>781683.6531</v>
      </c>
    </row>
    <row r="160">
      <c r="A160" s="126">
        <f t="shared" si="2"/>
        <v>2038</v>
      </c>
      <c r="B160" s="126">
        <f t="shared" si="3"/>
        <v>3</v>
      </c>
      <c r="C160" s="125">
        <f t="shared" si="1"/>
        <v>7207.722077</v>
      </c>
      <c r="D160" s="125">
        <f t="shared" si="4"/>
        <v>3095.918199</v>
      </c>
      <c r="E160" s="125">
        <f t="shared" si="5"/>
        <v>777571.8492</v>
      </c>
    </row>
    <row r="161">
      <c r="A161" s="126">
        <f t="shared" si="2"/>
        <v>2038</v>
      </c>
      <c r="B161" s="126">
        <f t="shared" si="3"/>
        <v>4</v>
      </c>
      <c r="C161" s="125">
        <f t="shared" si="1"/>
        <v>7207.722077</v>
      </c>
      <c r="D161" s="125">
        <f t="shared" si="4"/>
        <v>3079.633084</v>
      </c>
      <c r="E161" s="125">
        <f t="shared" si="5"/>
        <v>773443.7603</v>
      </c>
    </row>
    <row r="162">
      <c r="A162" s="126">
        <f t="shared" si="2"/>
        <v>2038</v>
      </c>
      <c r="B162" s="126">
        <f t="shared" si="3"/>
        <v>5</v>
      </c>
      <c r="C162" s="125">
        <f t="shared" si="1"/>
        <v>7207.722077</v>
      </c>
      <c r="D162" s="125">
        <f t="shared" si="4"/>
        <v>3063.28347</v>
      </c>
      <c r="E162" s="125">
        <f t="shared" si="5"/>
        <v>769299.3216</v>
      </c>
    </row>
    <row r="163">
      <c r="A163" s="126">
        <f t="shared" si="2"/>
        <v>2038</v>
      </c>
      <c r="B163" s="126">
        <f t="shared" si="3"/>
        <v>6</v>
      </c>
      <c r="C163" s="125">
        <f t="shared" si="1"/>
        <v>7207.722077</v>
      </c>
      <c r="D163" s="125">
        <f t="shared" si="4"/>
        <v>3046.869102</v>
      </c>
      <c r="E163" s="125">
        <f t="shared" si="5"/>
        <v>765138.4687</v>
      </c>
    </row>
    <row r="164">
      <c r="A164" s="126">
        <f t="shared" si="2"/>
        <v>2038</v>
      </c>
      <c r="B164" s="126">
        <f t="shared" si="3"/>
        <v>7</v>
      </c>
      <c r="C164" s="125">
        <f t="shared" si="1"/>
        <v>7207.722077</v>
      </c>
      <c r="D164" s="125">
        <f t="shared" si="4"/>
        <v>3030.389724</v>
      </c>
      <c r="E164" s="125">
        <f t="shared" si="5"/>
        <v>760961.1363</v>
      </c>
    </row>
    <row r="165">
      <c r="A165" s="126">
        <f t="shared" si="2"/>
        <v>2038</v>
      </c>
      <c r="B165" s="126">
        <f t="shared" si="3"/>
        <v>8</v>
      </c>
      <c r="C165" s="125">
        <f t="shared" si="1"/>
        <v>7207.722077</v>
      </c>
      <c r="D165" s="125">
        <f t="shared" si="4"/>
        <v>3013.845078</v>
      </c>
      <c r="E165" s="125">
        <f t="shared" si="5"/>
        <v>756767.2593</v>
      </c>
    </row>
    <row r="166">
      <c r="A166" s="126">
        <f t="shared" si="2"/>
        <v>2038</v>
      </c>
      <c r="B166" s="126">
        <f t="shared" si="3"/>
        <v>9</v>
      </c>
      <c r="C166" s="125">
        <f t="shared" si="1"/>
        <v>7207.722077</v>
      </c>
      <c r="D166" s="125">
        <f t="shared" si="4"/>
        <v>2997.234906</v>
      </c>
      <c r="E166" s="125">
        <f t="shared" si="5"/>
        <v>752556.7721</v>
      </c>
    </row>
    <row r="167">
      <c r="A167" s="126">
        <f t="shared" si="2"/>
        <v>2038</v>
      </c>
      <c r="B167" s="126">
        <f t="shared" si="3"/>
        <v>10</v>
      </c>
      <c r="C167" s="125">
        <f t="shared" si="1"/>
        <v>7207.722077</v>
      </c>
      <c r="D167" s="125">
        <f t="shared" si="4"/>
        <v>2980.558948</v>
      </c>
      <c r="E167" s="125">
        <f t="shared" si="5"/>
        <v>748329.609</v>
      </c>
    </row>
    <row r="168">
      <c r="A168" s="126">
        <f t="shared" si="2"/>
        <v>2038</v>
      </c>
      <c r="B168" s="126">
        <f t="shared" si="3"/>
        <v>11</v>
      </c>
      <c r="C168" s="125">
        <f t="shared" si="1"/>
        <v>7207.722077</v>
      </c>
      <c r="D168" s="125">
        <f t="shared" si="4"/>
        <v>2963.816943</v>
      </c>
      <c r="E168" s="125">
        <f t="shared" si="5"/>
        <v>744085.7039</v>
      </c>
    </row>
    <row r="169">
      <c r="A169" s="126">
        <f t="shared" si="2"/>
        <v>2038</v>
      </c>
      <c r="B169" s="126">
        <f t="shared" si="3"/>
        <v>12</v>
      </c>
      <c r="C169" s="125">
        <f t="shared" si="1"/>
        <v>7207.722077</v>
      </c>
      <c r="D169" s="125">
        <f t="shared" si="4"/>
        <v>2947.008631</v>
      </c>
      <c r="E169" s="125">
        <f t="shared" si="5"/>
        <v>739824.9904</v>
      </c>
    </row>
    <row r="170">
      <c r="A170" s="126">
        <f t="shared" si="2"/>
        <v>2039</v>
      </c>
      <c r="B170" s="126">
        <f t="shared" si="3"/>
        <v>1</v>
      </c>
      <c r="C170" s="125">
        <f t="shared" si="1"/>
        <v>7207.722077</v>
      </c>
      <c r="D170" s="125">
        <f t="shared" si="4"/>
        <v>2930.133747</v>
      </c>
      <c r="E170" s="125">
        <f t="shared" si="5"/>
        <v>735547.4021</v>
      </c>
    </row>
    <row r="171">
      <c r="A171" s="126">
        <f t="shared" si="2"/>
        <v>2039</v>
      </c>
      <c r="B171" s="126">
        <f t="shared" si="3"/>
        <v>2</v>
      </c>
      <c r="C171" s="125">
        <f t="shared" si="1"/>
        <v>7207.722077</v>
      </c>
      <c r="D171" s="125">
        <f t="shared" si="4"/>
        <v>2913.19203</v>
      </c>
      <c r="E171" s="125">
        <f t="shared" si="5"/>
        <v>731252.8721</v>
      </c>
    </row>
    <row r="172">
      <c r="A172" s="126">
        <f t="shared" si="2"/>
        <v>2039</v>
      </c>
      <c r="B172" s="126">
        <f t="shared" si="3"/>
        <v>3</v>
      </c>
      <c r="C172" s="125">
        <f t="shared" si="1"/>
        <v>7207.722077</v>
      </c>
      <c r="D172" s="125">
        <f t="shared" si="4"/>
        <v>2896.183214</v>
      </c>
      <c r="E172" s="125">
        <f t="shared" si="5"/>
        <v>726941.3332</v>
      </c>
    </row>
    <row r="173">
      <c r="A173" s="126">
        <f t="shared" si="2"/>
        <v>2039</v>
      </c>
      <c r="B173" s="126">
        <f t="shared" si="3"/>
        <v>4</v>
      </c>
      <c r="C173" s="125">
        <f t="shared" si="1"/>
        <v>7207.722077</v>
      </c>
      <c r="D173" s="125">
        <f t="shared" si="4"/>
        <v>2879.107033</v>
      </c>
      <c r="E173" s="125">
        <f t="shared" si="5"/>
        <v>722612.7182</v>
      </c>
    </row>
    <row r="174">
      <c r="A174" s="126">
        <f t="shared" si="2"/>
        <v>2039</v>
      </c>
      <c r="B174" s="126">
        <f t="shared" si="3"/>
        <v>5</v>
      </c>
      <c r="C174" s="125">
        <f t="shared" si="1"/>
        <v>7207.722077</v>
      </c>
      <c r="D174" s="125">
        <f t="shared" si="4"/>
        <v>2861.96322</v>
      </c>
      <c r="E174" s="125">
        <f t="shared" si="5"/>
        <v>718266.9593</v>
      </c>
    </row>
    <row r="175">
      <c r="A175" s="126">
        <f t="shared" si="2"/>
        <v>2039</v>
      </c>
      <c r="B175" s="126">
        <f t="shared" si="3"/>
        <v>6</v>
      </c>
      <c r="C175" s="125">
        <f t="shared" si="1"/>
        <v>7207.722077</v>
      </c>
      <c r="D175" s="125">
        <f t="shared" si="4"/>
        <v>2844.751508</v>
      </c>
      <c r="E175" s="125">
        <f t="shared" si="5"/>
        <v>713903.9887</v>
      </c>
    </row>
    <row r="176">
      <c r="A176" s="126">
        <f t="shared" si="2"/>
        <v>2039</v>
      </c>
      <c r="B176" s="126">
        <f t="shared" si="3"/>
        <v>7</v>
      </c>
      <c r="C176" s="125">
        <f t="shared" si="1"/>
        <v>7207.722077</v>
      </c>
      <c r="D176" s="125">
        <f t="shared" si="4"/>
        <v>2827.471628</v>
      </c>
      <c r="E176" s="125">
        <f t="shared" si="5"/>
        <v>709523.7383</v>
      </c>
    </row>
    <row r="177">
      <c r="A177" s="126">
        <f t="shared" si="2"/>
        <v>2039</v>
      </c>
      <c r="B177" s="126">
        <f t="shared" si="3"/>
        <v>8</v>
      </c>
      <c r="C177" s="125">
        <f t="shared" si="1"/>
        <v>7207.722077</v>
      </c>
      <c r="D177" s="125">
        <f t="shared" si="4"/>
        <v>2810.123309</v>
      </c>
      <c r="E177" s="125">
        <f t="shared" si="5"/>
        <v>705126.1395</v>
      </c>
    </row>
    <row r="178">
      <c r="A178" s="126">
        <f t="shared" si="2"/>
        <v>2039</v>
      </c>
      <c r="B178" s="126">
        <f t="shared" si="3"/>
        <v>9</v>
      </c>
      <c r="C178" s="125">
        <f t="shared" si="1"/>
        <v>7207.722077</v>
      </c>
      <c r="D178" s="125">
        <f t="shared" si="4"/>
        <v>2792.706281</v>
      </c>
      <c r="E178" s="125">
        <f t="shared" si="5"/>
        <v>700711.1237</v>
      </c>
    </row>
    <row r="179">
      <c r="A179" s="126">
        <f t="shared" si="2"/>
        <v>2039</v>
      </c>
      <c r="B179" s="126">
        <f t="shared" si="3"/>
        <v>10</v>
      </c>
      <c r="C179" s="125">
        <f t="shared" si="1"/>
        <v>7207.722077</v>
      </c>
      <c r="D179" s="125">
        <f t="shared" si="4"/>
        <v>2775.220271</v>
      </c>
      <c r="E179" s="125">
        <f t="shared" si="5"/>
        <v>696278.6219</v>
      </c>
    </row>
    <row r="180">
      <c r="A180" s="126">
        <f t="shared" si="2"/>
        <v>2039</v>
      </c>
      <c r="B180" s="126">
        <f t="shared" si="3"/>
        <v>11</v>
      </c>
      <c r="C180" s="125">
        <f t="shared" si="1"/>
        <v>7207.722077</v>
      </c>
      <c r="D180" s="125">
        <f t="shared" si="4"/>
        <v>2757.665007</v>
      </c>
      <c r="E180" s="125">
        <f t="shared" si="5"/>
        <v>691828.5648</v>
      </c>
    </row>
    <row r="181">
      <c r="A181" s="126">
        <f t="shared" si="2"/>
        <v>2039</v>
      </c>
      <c r="B181" s="126">
        <f t="shared" si="3"/>
        <v>12</v>
      </c>
      <c r="C181" s="125">
        <f t="shared" si="1"/>
        <v>7207.722077</v>
      </c>
      <c r="D181" s="125">
        <f t="shared" si="4"/>
        <v>2740.040214</v>
      </c>
      <c r="E181" s="125">
        <f t="shared" si="5"/>
        <v>687360.883</v>
      </c>
    </row>
    <row r="182">
      <c r="A182" s="126">
        <f t="shared" si="2"/>
        <v>2040</v>
      </c>
      <c r="B182" s="126">
        <f t="shared" si="3"/>
        <v>1</v>
      </c>
      <c r="C182" s="125">
        <f t="shared" si="1"/>
        <v>7207.722077</v>
      </c>
      <c r="D182" s="125">
        <f t="shared" si="4"/>
        <v>2722.345617</v>
      </c>
      <c r="E182" s="125">
        <f t="shared" si="5"/>
        <v>682875.5065</v>
      </c>
    </row>
    <row r="183">
      <c r="A183" s="126">
        <f t="shared" si="2"/>
        <v>2040</v>
      </c>
      <c r="B183" s="126">
        <f t="shared" si="3"/>
        <v>2</v>
      </c>
      <c r="C183" s="125">
        <f t="shared" si="1"/>
        <v>7207.722077</v>
      </c>
      <c r="D183" s="125">
        <f t="shared" si="4"/>
        <v>2704.580938</v>
      </c>
      <c r="E183" s="125">
        <f t="shared" si="5"/>
        <v>678372.3654</v>
      </c>
    </row>
    <row r="184">
      <c r="A184" s="126">
        <f t="shared" si="2"/>
        <v>2040</v>
      </c>
      <c r="B184" s="126">
        <f t="shared" si="3"/>
        <v>3</v>
      </c>
      <c r="C184" s="125">
        <f t="shared" si="1"/>
        <v>7207.722077</v>
      </c>
      <c r="D184" s="125">
        <f t="shared" si="4"/>
        <v>2686.745902</v>
      </c>
      <c r="E184" s="125">
        <f t="shared" si="5"/>
        <v>673851.3892</v>
      </c>
    </row>
    <row r="185">
      <c r="A185" s="126">
        <f t="shared" si="2"/>
        <v>2040</v>
      </c>
      <c r="B185" s="126">
        <f t="shared" si="3"/>
        <v>4</v>
      </c>
      <c r="C185" s="125">
        <f t="shared" si="1"/>
        <v>7207.722077</v>
      </c>
      <c r="D185" s="125">
        <f t="shared" si="4"/>
        <v>2668.840228</v>
      </c>
      <c r="E185" s="125">
        <f t="shared" si="5"/>
        <v>669312.5073</v>
      </c>
    </row>
    <row r="186">
      <c r="A186" s="126">
        <f t="shared" si="2"/>
        <v>2040</v>
      </c>
      <c r="B186" s="126">
        <f t="shared" si="3"/>
        <v>5</v>
      </c>
      <c r="C186" s="125">
        <f t="shared" si="1"/>
        <v>7207.722077</v>
      </c>
      <c r="D186" s="125">
        <f t="shared" si="4"/>
        <v>2650.863638</v>
      </c>
      <c r="E186" s="125">
        <f t="shared" si="5"/>
        <v>664755.6489</v>
      </c>
    </row>
    <row r="187">
      <c r="A187" s="126">
        <f t="shared" si="2"/>
        <v>2040</v>
      </c>
      <c r="B187" s="126">
        <f t="shared" si="3"/>
        <v>6</v>
      </c>
      <c r="C187" s="125">
        <f t="shared" si="1"/>
        <v>7207.722077</v>
      </c>
      <c r="D187" s="125">
        <f t="shared" si="4"/>
        <v>2632.815849</v>
      </c>
      <c r="E187" s="125">
        <f t="shared" si="5"/>
        <v>660180.7427</v>
      </c>
    </row>
    <row r="188">
      <c r="A188" s="126">
        <f t="shared" si="2"/>
        <v>2040</v>
      </c>
      <c r="B188" s="126">
        <f t="shared" si="3"/>
        <v>7</v>
      </c>
      <c r="C188" s="125">
        <f t="shared" si="1"/>
        <v>7207.722077</v>
      </c>
      <c r="D188" s="125">
        <f t="shared" si="4"/>
        <v>2614.696582</v>
      </c>
      <c r="E188" s="125">
        <f t="shared" si="5"/>
        <v>655587.7172</v>
      </c>
    </row>
    <row r="189">
      <c r="A189" s="126">
        <f t="shared" si="2"/>
        <v>2040</v>
      </c>
      <c r="B189" s="126">
        <f t="shared" si="3"/>
        <v>8</v>
      </c>
      <c r="C189" s="125">
        <f t="shared" si="1"/>
        <v>7207.722077</v>
      </c>
      <c r="D189" s="125">
        <f t="shared" si="4"/>
        <v>2596.505551</v>
      </c>
      <c r="E189" s="125">
        <f t="shared" si="5"/>
        <v>650976.5007</v>
      </c>
    </row>
    <row r="190">
      <c r="A190" s="126">
        <f t="shared" si="2"/>
        <v>2040</v>
      </c>
      <c r="B190" s="126">
        <f t="shared" si="3"/>
        <v>9</v>
      </c>
      <c r="C190" s="125">
        <f t="shared" si="1"/>
        <v>7207.722077</v>
      </c>
      <c r="D190" s="125">
        <f t="shared" si="4"/>
        <v>2578.242474</v>
      </c>
      <c r="E190" s="125">
        <f t="shared" si="5"/>
        <v>646347.0211</v>
      </c>
    </row>
    <row r="191">
      <c r="A191" s="126">
        <f t="shared" si="2"/>
        <v>2040</v>
      </c>
      <c r="B191" s="126">
        <f t="shared" si="3"/>
        <v>10</v>
      </c>
      <c r="C191" s="125">
        <f t="shared" si="1"/>
        <v>7207.722077</v>
      </c>
      <c r="D191" s="125">
        <f t="shared" si="4"/>
        <v>2559.907064</v>
      </c>
      <c r="E191" s="125">
        <f t="shared" si="5"/>
        <v>641699.206</v>
      </c>
    </row>
    <row r="192">
      <c r="A192" s="126">
        <f t="shared" si="2"/>
        <v>2040</v>
      </c>
      <c r="B192" s="126">
        <f t="shared" si="3"/>
        <v>11</v>
      </c>
      <c r="C192" s="125">
        <f t="shared" si="1"/>
        <v>7207.722077</v>
      </c>
      <c r="D192" s="125">
        <f t="shared" si="4"/>
        <v>2541.499035</v>
      </c>
      <c r="E192" s="125">
        <f t="shared" si="5"/>
        <v>637032.983</v>
      </c>
    </row>
    <row r="193">
      <c r="A193" s="126">
        <f t="shared" si="2"/>
        <v>2040</v>
      </c>
      <c r="B193" s="126">
        <f t="shared" si="3"/>
        <v>12</v>
      </c>
      <c r="C193" s="125">
        <f t="shared" si="1"/>
        <v>7207.722077</v>
      </c>
      <c r="D193" s="125">
        <f t="shared" si="4"/>
        <v>2523.0181</v>
      </c>
      <c r="E193" s="125">
        <f t="shared" si="5"/>
        <v>632348.279</v>
      </c>
    </row>
    <row r="194">
      <c r="A194" s="126">
        <f t="shared" si="2"/>
        <v>2041</v>
      </c>
      <c r="B194" s="126">
        <f t="shared" si="3"/>
        <v>1</v>
      </c>
      <c r="C194" s="125">
        <f t="shared" si="1"/>
        <v>7207.722077</v>
      </c>
      <c r="D194" s="125">
        <f t="shared" si="4"/>
        <v>2504.46397</v>
      </c>
      <c r="E194" s="125">
        <f t="shared" si="5"/>
        <v>627645.0209</v>
      </c>
    </row>
    <row r="195">
      <c r="A195" s="126">
        <f t="shared" si="2"/>
        <v>2041</v>
      </c>
      <c r="B195" s="126">
        <f t="shared" si="3"/>
        <v>2</v>
      </c>
      <c r="C195" s="125">
        <f t="shared" si="1"/>
        <v>7207.722077</v>
      </c>
      <c r="D195" s="125">
        <f t="shared" si="4"/>
        <v>2485.836355</v>
      </c>
      <c r="E195" s="125">
        <f t="shared" si="5"/>
        <v>622923.1352</v>
      </c>
    </row>
    <row r="196">
      <c r="A196" s="126">
        <f t="shared" si="2"/>
        <v>2041</v>
      </c>
      <c r="B196" s="126">
        <f t="shared" si="3"/>
        <v>3</v>
      </c>
      <c r="C196" s="125">
        <f t="shared" si="1"/>
        <v>7207.722077</v>
      </c>
      <c r="D196" s="125">
        <f t="shared" si="4"/>
        <v>2467.134963</v>
      </c>
      <c r="E196" s="125">
        <f t="shared" si="5"/>
        <v>618182.5481</v>
      </c>
    </row>
    <row r="197">
      <c r="A197" s="126">
        <f t="shared" si="2"/>
        <v>2041</v>
      </c>
      <c r="B197" s="126">
        <f t="shared" si="3"/>
        <v>4</v>
      </c>
      <c r="C197" s="125">
        <f t="shared" si="1"/>
        <v>7207.722077</v>
      </c>
      <c r="D197" s="125">
        <f t="shared" si="4"/>
        <v>2448.359503</v>
      </c>
      <c r="E197" s="125">
        <f t="shared" si="5"/>
        <v>613423.1855</v>
      </c>
    </row>
    <row r="198">
      <c r="A198" s="126">
        <f t="shared" si="2"/>
        <v>2041</v>
      </c>
      <c r="B198" s="126">
        <f t="shared" si="3"/>
        <v>5</v>
      </c>
      <c r="C198" s="125">
        <f t="shared" si="1"/>
        <v>7207.722077</v>
      </c>
      <c r="D198" s="125">
        <f t="shared" si="4"/>
        <v>2429.509682</v>
      </c>
      <c r="E198" s="125">
        <f t="shared" si="5"/>
        <v>608644.9731</v>
      </c>
    </row>
    <row r="199">
      <c r="A199" s="126">
        <f t="shared" si="2"/>
        <v>2041</v>
      </c>
      <c r="B199" s="126">
        <f t="shared" si="3"/>
        <v>6</v>
      </c>
      <c r="C199" s="125">
        <f t="shared" si="1"/>
        <v>7207.722077</v>
      </c>
      <c r="D199" s="125">
        <f t="shared" si="4"/>
        <v>2410.585205</v>
      </c>
      <c r="E199" s="125">
        <f t="shared" si="5"/>
        <v>603847.8362</v>
      </c>
    </row>
    <row r="200">
      <c r="A200" s="126">
        <f t="shared" si="2"/>
        <v>2041</v>
      </c>
      <c r="B200" s="126">
        <f t="shared" si="3"/>
        <v>7</v>
      </c>
      <c r="C200" s="125">
        <f t="shared" si="1"/>
        <v>7207.722077</v>
      </c>
      <c r="D200" s="125">
        <f t="shared" si="4"/>
        <v>2391.585775</v>
      </c>
      <c r="E200" s="125">
        <f t="shared" si="5"/>
        <v>599031.6999</v>
      </c>
    </row>
    <row r="201">
      <c r="A201" s="126">
        <f t="shared" si="2"/>
        <v>2041</v>
      </c>
      <c r="B201" s="126">
        <f t="shared" si="3"/>
        <v>8</v>
      </c>
      <c r="C201" s="125">
        <f t="shared" si="1"/>
        <v>7207.722077</v>
      </c>
      <c r="D201" s="125">
        <f t="shared" si="4"/>
        <v>2372.511097</v>
      </c>
      <c r="E201" s="125">
        <f t="shared" si="5"/>
        <v>594196.489</v>
      </c>
    </row>
    <row r="202">
      <c r="A202" s="126">
        <f t="shared" si="2"/>
        <v>2041</v>
      </c>
      <c r="B202" s="126">
        <f t="shared" si="3"/>
        <v>9</v>
      </c>
      <c r="C202" s="125">
        <f t="shared" si="1"/>
        <v>7207.722077</v>
      </c>
      <c r="D202" s="125">
        <f t="shared" si="4"/>
        <v>2353.360872</v>
      </c>
      <c r="E202" s="125">
        <f t="shared" si="5"/>
        <v>589342.1277</v>
      </c>
    </row>
    <row r="203">
      <c r="A203" s="126">
        <f t="shared" si="2"/>
        <v>2041</v>
      </c>
      <c r="B203" s="126">
        <f t="shared" si="3"/>
        <v>10</v>
      </c>
      <c r="C203" s="125">
        <f t="shared" si="1"/>
        <v>7207.722077</v>
      </c>
      <c r="D203" s="125">
        <f t="shared" si="4"/>
        <v>2334.134802</v>
      </c>
      <c r="E203" s="125">
        <f t="shared" si="5"/>
        <v>584468.5405</v>
      </c>
    </row>
    <row r="204">
      <c r="A204" s="126">
        <f t="shared" si="2"/>
        <v>2041</v>
      </c>
      <c r="B204" s="126">
        <f t="shared" si="3"/>
        <v>11</v>
      </c>
      <c r="C204" s="125">
        <f t="shared" si="1"/>
        <v>7207.722077</v>
      </c>
      <c r="D204" s="125">
        <f t="shared" si="4"/>
        <v>2314.832585</v>
      </c>
      <c r="E204" s="125">
        <f t="shared" si="5"/>
        <v>579575.651</v>
      </c>
    </row>
    <row r="205">
      <c r="A205" s="126">
        <f t="shared" si="2"/>
        <v>2041</v>
      </c>
      <c r="B205" s="126">
        <f t="shared" si="3"/>
        <v>12</v>
      </c>
      <c r="C205" s="125">
        <f t="shared" si="1"/>
        <v>7207.722077</v>
      </c>
      <c r="D205" s="125">
        <f t="shared" si="4"/>
        <v>2295.45392</v>
      </c>
      <c r="E205" s="125">
        <f t="shared" si="5"/>
        <v>574663.3828</v>
      </c>
    </row>
    <row r="206">
      <c r="A206" s="126">
        <f t="shared" si="2"/>
        <v>2042</v>
      </c>
      <c r="B206" s="126">
        <f t="shared" si="3"/>
        <v>1</v>
      </c>
      <c r="C206" s="125">
        <f t="shared" si="1"/>
        <v>7207.722077</v>
      </c>
      <c r="D206" s="125">
        <f t="shared" si="4"/>
        <v>2275.998504</v>
      </c>
      <c r="E206" s="125">
        <f t="shared" si="5"/>
        <v>569731.6592</v>
      </c>
    </row>
    <row r="207">
      <c r="A207" s="126">
        <f t="shared" si="2"/>
        <v>2042</v>
      </c>
      <c r="B207" s="126">
        <f t="shared" si="3"/>
        <v>2</v>
      </c>
      <c r="C207" s="125">
        <f t="shared" si="1"/>
        <v>7207.722077</v>
      </c>
      <c r="D207" s="125">
        <f t="shared" si="4"/>
        <v>2256.466034</v>
      </c>
      <c r="E207" s="125">
        <f t="shared" si="5"/>
        <v>564780.4032</v>
      </c>
    </row>
    <row r="208">
      <c r="A208" s="126">
        <f t="shared" si="2"/>
        <v>2042</v>
      </c>
      <c r="B208" s="126">
        <f t="shared" si="3"/>
        <v>3</v>
      </c>
      <c r="C208" s="125">
        <f t="shared" si="1"/>
        <v>7207.722077</v>
      </c>
      <c r="D208" s="125">
        <f t="shared" si="4"/>
        <v>2236.856203</v>
      </c>
      <c r="E208" s="125">
        <f t="shared" si="5"/>
        <v>559809.5373</v>
      </c>
    </row>
    <row r="209">
      <c r="A209" s="126">
        <f t="shared" si="2"/>
        <v>2042</v>
      </c>
      <c r="B209" s="126">
        <f t="shared" si="3"/>
        <v>4</v>
      </c>
      <c r="C209" s="125">
        <f t="shared" si="1"/>
        <v>7207.722077</v>
      </c>
      <c r="D209" s="125">
        <f t="shared" si="4"/>
        <v>2217.168707</v>
      </c>
      <c r="E209" s="125">
        <f t="shared" si="5"/>
        <v>554818.984</v>
      </c>
    </row>
    <row r="210">
      <c r="A210" s="126">
        <f t="shared" si="2"/>
        <v>2042</v>
      </c>
      <c r="B210" s="126">
        <f t="shared" si="3"/>
        <v>5</v>
      </c>
      <c r="C210" s="125">
        <f t="shared" si="1"/>
        <v>7207.722077</v>
      </c>
      <c r="D210" s="125">
        <f t="shared" si="4"/>
        <v>2197.403237</v>
      </c>
      <c r="E210" s="125">
        <f t="shared" si="5"/>
        <v>549808.6651</v>
      </c>
    </row>
    <row r="211">
      <c r="A211" s="126">
        <f t="shared" si="2"/>
        <v>2042</v>
      </c>
      <c r="B211" s="126">
        <f t="shared" si="3"/>
        <v>6</v>
      </c>
      <c r="C211" s="125">
        <f t="shared" si="1"/>
        <v>7207.722077</v>
      </c>
      <c r="D211" s="125">
        <f t="shared" si="4"/>
        <v>2177.559484</v>
      </c>
      <c r="E211" s="125">
        <f t="shared" si="5"/>
        <v>544778.5025</v>
      </c>
    </row>
    <row r="212">
      <c r="A212" s="126">
        <f t="shared" si="2"/>
        <v>2042</v>
      </c>
      <c r="B212" s="126">
        <f t="shared" si="3"/>
        <v>7</v>
      </c>
      <c r="C212" s="125">
        <f t="shared" si="1"/>
        <v>7207.722077</v>
      </c>
      <c r="D212" s="125">
        <f t="shared" si="4"/>
        <v>2157.637138</v>
      </c>
      <c r="E212" s="125">
        <f t="shared" si="5"/>
        <v>539728.4176</v>
      </c>
    </row>
    <row r="213">
      <c r="A213" s="126">
        <f t="shared" si="2"/>
        <v>2042</v>
      </c>
      <c r="B213" s="126">
        <f t="shared" si="3"/>
        <v>8</v>
      </c>
      <c r="C213" s="125">
        <f t="shared" si="1"/>
        <v>7207.722077</v>
      </c>
      <c r="D213" s="125">
        <f t="shared" si="4"/>
        <v>2137.635889</v>
      </c>
      <c r="E213" s="125">
        <f t="shared" si="5"/>
        <v>534658.3314</v>
      </c>
    </row>
    <row r="214">
      <c r="A214" s="126">
        <f t="shared" si="2"/>
        <v>2042</v>
      </c>
      <c r="B214" s="126">
        <f t="shared" si="3"/>
        <v>9</v>
      </c>
      <c r="C214" s="125">
        <f t="shared" si="1"/>
        <v>7207.722077</v>
      </c>
      <c r="D214" s="125">
        <f t="shared" si="4"/>
        <v>2117.555422</v>
      </c>
      <c r="E214" s="125">
        <f t="shared" si="5"/>
        <v>529568.1647</v>
      </c>
    </row>
    <row r="215">
      <c r="A215" s="126">
        <f t="shared" si="2"/>
        <v>2042</v>
      </c>
      <c r="B215" s="126">
        <f t="shared" si="3"/>
        <v>10</v>
      </c>
      <c r="C215" s="125">
        <f t="shared" si="1"/>
        <v>7207.722077</v>
      </c>
      <c r="D215" s="125">
        <f t="shared" si="4"/>
        <v>2097.395426</v>
      </c>
      <c r="E215" s="125">
        <f t="shared" si="5"/>
        <v>524457.8381</v>
      </c>
    </row>
    <row r="216">
      <c r="A216" s="126">
        <f t="shared" si="2"/>
        <v>2042</v>
      </c>
      <c r="B216" s="126">
        <f t="shared" si="3"/>
        <v>11</v>
      </c>
      <c r="C216" s="125">
        <f t="shared" si="1"/>
        <v>7207.722077</v>
      </c>
      <c r="D216" s="125">
        <f t="shared" si="4"/>
        <v>2077.155585</v>
      </c>
      <c r="E216" s="125">
        <f t="shared" si="5"/>
        <v>519327.2716</v>
      </c>
    </row>
    <row r="217">
      <c r="A217" s="126">
        <f t="shared" si="2"/>
        <v>2042</v>
      </c>
      <c r="B217" s="126">
        <f t="shared" si="3"/>
        <v>12</v>
      </c>
      <c r="C217" s="125">
        <f t="shared" si="1"/>
        <v>7207.722077</v>
      </c>
      <c r="D217" s="125">
        <f t="shared" si="4"/>
        <v>2056.835582</v>
      </c>
      <c r="E217" s="125">
        <f t="shared" si="5"/>
        <v>514176.3851</v>
      </c>
    </row>
    <row r="218">
      <c r="A218" s="126">
        <f t="shared" si="2"/>
        <v>2043</v>
      </c>
      <c r="B218" s="126">
        <f t="shared" si="3"/>
        <v>1</v>
      </c>
      <c r="C218" s="125">
        <f t="shared" si="1"/>
        <v>7207.722077</v>
      </c>
      <c r="D218" s="125">
        <f t="shared" si="4"/>
        <v>2036.4351</v>
      </c>
      <c r="E218" s="125">
        <f t="shared" si="5"/>
        <v>509005.0981</v>
      </c>
    </row>
    <row r="219">
      <c r="A219" s="126">
        <f t="shared" si="2"/>
        <v>2043</v>
      </c>
      <c r="B219" s="126">
        <f t="shared" si="3"/>
        <v>2</v>
      </c>
      <c r="C219" s="125">
        <f t="shared" si="1"/>
        <v>7207.722077</v>
      </c>
      <c r="D219" s="125">
        <f t="shared" si="4"/>
        <v>2015.95382</v>
      </c>
      <c r="E219" s="125">
        <f t="shared" si="5"/>
        <v>503813.3299</v>
      </c>
    </row>
    <row r="220">
      <c r="A220" s="126">
        <f t="shared" si="2"/>
        <v>2043</v>
      </c>
      <c r="B220" s="126">
        <f t="shared" si="3"/>
        <v>3</v>
      </c>
      <c r="C220" s="125">
        <f t="shared" si="1"/>
        <v>7207.722077</v>
      </c>
      <c r="D220" s="125">
        <f t="shared" si="4"/>
        <v>1995.391423</v>
      </c>
      <c r="E220" s="125">
        <f t="shared" si="5"/>
        <v>498600.9992</v>
      </c>
    </row>
    <row r="221">
      <c r="A221" s="126">
        <f t="shared" si="2"/>
        <v>2043</v>
      </c>
      <c r="B221" s="126">
        <f t="shared" si="3"/>
        <v>4</v>
      </c>
      <c r="C221" s="125">
        <f t="shared" si="1"/>
        <v>7207.722077</v>
      </c>
      <c r="D221" s="125">
        <f t="shared" si="4"/>
        <v>1974.747587</v>
      </c>
      <c r="E221" s="125">
        <f t="shared" si="5"/>
        <v>493368.0247</v>
      </c>
    </row>
    <row r="222">
      <c r="A222" s="126">
        <f t="shared" si="2"/>
        <v>2043</v>
      </c>
      <c r="B222" s="126">
        <f t="shared" si="3"/>
        <v>5</v>
      </c>
      <c r="C222" s="125">
        <f t="shared" si="1"/>
        <v>7207.722077</v>
      </c>
      <c r="D222" s="125">
        <f t="shared" si="4"/>
        <v>1954.021989</v>
      </c>
      <c r="E222" s="125">
        <f t="shared" si="5"/>
        <v>488114.3246</v>
      </c>
    </row>
    <row r="223">
      <c r="A223" s="126">
        <f t="shared" si="2"/>
        <v>2043</v>
      </c>
      <c r="B223" s="126">
        <f t="shared" si="3"/>
        <v>6</v>
      </c>
      <c r="C223" s="125">
        <f t="shared" si="1"/>
        <v>7207.722077</v>
      </c>
      <c r="D223" s="125">
        <f t="shared" si="4"/>
        <v>1933.214306</v>
      </c>
      <c r="E223" s="125">
        <f t="shared" si="5"/>
        <v>482839.8169</v>
      </c>
    </row>
    <row r="224">
      <c r="A224" s="126">
        <f t="shared" si="2"/>
        <v>2043</v>
      </c>
      <c r="B224" s="126">
        <f t="shared" si="3"/>
        <v>7</v>
      </c>
      <c r="C224" s="125">
        <f t="shared" si="1"/>
        <v>7207.722077</v>
      </c>
      <c r="D224" s="125">
        <f t="shared" si="4"/>
        <v>1912.324212</v>
      </c>
      <c r="E224" s="125">
        <f t="shared" si="5"/>
        <v>477544.419</v>
      </c>
    </row>
    <row r="225">
      <c r="A225" s="126">
        <f t="shared" si="2"/>
        <v>2043</v>
      </c>
      <c r="B225" s="126">
        <f t="shared" si="3"/>
        <v>8</v>
      </c>
      <c r="C225" s="125">
        <f t="shared" si="1"/>
        <v>7207.722077</v>
      </c>
      <c r="D225" s="125">
        <f t="shared" si="4"/>
        <v>1891.351382</v>
      </c>
      <c r="E225" s="125">
        <f t="shared" si="5"/>
        <v>472228.0483</v>
      </c>
    </row>
    <row r="226">
      <c r="A226" s="126">
        <f t="shared" si="2"/>
        <v>2043</v>
      </c>
      <c r="B226" s="126">
        <f t="shared" si="3"/>
        <v>9</v>
      </c>
      <c r="C226" s="125">
        <f t="shared" si="1"/>
        <v>7207.722077</v>
      </c>
      <c r="D226" s="125">
        <f t="shared" si="4"/>
        <v>1870.295487</v>
      </c>
      <c r="E226" s="125">
        <f t="shared" si="5"/>
        <v>466890.6217</v>
      </c>
    </row>
    <row r="227">
      <c r="A227" s="126">
        <f t="shared" si="2"/>
        <v>2043</v>
      </c>
      <c r="B227" s="126">
        <f t="shared" si="3"/>
        <v>10</v>
      </c>
      <c r="C227" s="125">
        <f t="shared" si="1"/>
        <v>7207.722077</v>
      </c>
      <c r="D227" s="125">
        <f t="shared" si="4"/>
        <v>1849.156199</v>
      </c>
      <c r="E227" s="125">
        <f t="shared" si="5"/>
        <v>461532.0558</v>
      </c>
    </row>
    <row r="228">
      <c r="A228" s="126">
        <f t="shared" si="2"/>
        <v>2043</v>
      </c>
      <c r="B228" s="126">
        <f t="shared" si="3"/>
        <v>11</v>
      </c>
      <c r="C228" s="125">
        <f t="shared" si="1"/>
        <v>7207.722077</v>
      </c>
      <c r="D228" s="125">
        <f t="shared" si="4"/>
        <v>1827.933187</v>
      </c>
      <c r="E228" s="125">
        <f t="shared" si="5"/>
        <v>456152.2669</v>
      </c>
    </row>
    <row r="229">
      <c r="A229" s="126">
        <f t="shared" si="2"/>
        <v>2043</v>
      </c>
      <c r="B229" s="126">
        <f t="shared" si="3"/>
        <v>12</v>
      </c>
      <c r="C229" s="125">
        <f t="shared" si="1"/>
        <v>7207.722077</v>
      </c>
      <c r="D229" s="125">
        <f t="shared" si="4"/>
        <v>1806.626119</v>
      </c>
      <c r="E229" s="125">
        <f t="shared" si="5"/>
        <v>450751.171</v>
      </c>
    </row>
    <row r="230">
      <c r="A230" s="126">
        <f t="shared" si="2"/>
        <v>2044</v>
      </c>
      <c r="B230" s="126">
        <f t="shared" si="3"/>
        <v>1</v>
      </c>
      <c r="C230" s="125">
        <f t="shared" si="1"/>
        <v>7207.722077</v>
      </c>
      <c r="D230" s="125">
        <f t="shared" si="4"/>
        <v>1785.234663</v>
      </c>
      <c r="E230" s="125">
        <f t="shared" si="5"/>
        <v>445328.6836</v>
      </c>
    </row>
    <row r="231">
      <c r="A231" s="126">
        <f t="shared" si="2"/>
        <v>2044</v>
      </c>
      <c r="B231" s="126">
        <f t="shared" si="3"/>
        <v>2</v>
      </c>
      <c r="C231" s="125">
        <f t="shared" si="1"/>
        <v>7207.722077</v>
      </c>
      <c r="D231" s="125">
        <f t="shared" si="4"/>
        <v>1763.758485</v>
      </c>
      <c r="E231" s="125">
        <f t="shared" si="5"/>
        <v>439884.72</v>
      </c>
    </row>
    <row r="232">
      <c r="A232" s="126">
        <f t="shared" si="2"/>
        <v>2044</v>
      </c>
      <c r="B232" s="126">
        <f t="shared" si="3"/>
        <v>3</v>
      </c>
      <c r="C232" s="125">
        <f t="shared" si="1"/>
        <v>7207.722077</v>
      </c>
      <c r="D232" s="125">
        <f t="shared" si="4"/>
        <v>1742.197249</v>
      </c>
      <c r="E232" s="125">
        <f t="shared" si="5"/>
        <v>434419.1951</v>
      </c>
    </row>
    <row r="233">
      <c r="A233" s="126">
        <f t="shared" si="2"/>
        <v>2044</v>
      </c>
      <c r="B233" s="126">
        <f t="shared" si="3"/>
        <v>4</v>
      </c>
      <c r="C233" s="125">
        <f t="shared" si="1"/>
        <v>7207.722077</v>
      </c>
      <c r="D233" s="125">
        <f t="shared" si="4"/>
        <v>1720.550618</v>
      </c>
      <c r="E233" s="125">
        <f t="shared" si="5"/>
        <v>428932.0237</v>
      </c>
    </row>
    <row r="234">
      <c r="A234" s="126">
        <f t="shared" si="2"/>
        <v>2044</v>
      </c>
      <c r="B234" s="126">
        <f t="shared" si="3"/>
        <v>5</v>
      </c>
      <c r="C234" s="125">
        <f t="shared" si="1"/>
        <v>7207.722077</v>
      </c>
      <c r="D234" s="125">
        <f t="shared" si="4"/>
        <v>1698.818253</v>
      </c>
      <c r="E234" s="125">
        <f t="shared" si="5"/>
        <v>423423.1199</v>
      </c>
    </row>
    <row r="235">
      <c r="A235" s="126">
        <f t="shared" si="2"/>
        <v>2044</v>
      </c>
      <c r="B235" s="126">
        <f t="shared" si="3"/>
        <v>6</v>
      </c>
      <c r="C235" s="125">
        <f t="shared" si="1"/>
        <v>7207.722077</v>
      </c>
      <c r="D235" s="125">
        <f t="shared" si="4"/>
        <v>1676.999816</v>
      </c>
      <c r="E235" s="125">
        <f t="shared" si="5"/>
        <v>417892.3976</v>
      </c>
    </row>
    <row r="236">
      <c r="A236" s="126">
        <f t="shared" si="2"/>
        <v>2044</v>
      </c>
      <c r="B236" s="126">
        <f t="shared" si="3"/>
        <v>7</v>
      </c>
      <c r="C236" s="125">
        <f t="shared" si="1"/>
        <v>7207.722077</v>
      </c>
      <c r="D236" s="125">
        <f t="shared" si="4"/>
        <v>1655.094966</v>
      </c>
      <c r="E236" s="125">
        <f t="shared" si="5"/>
        <v>412339.7705</v>
      </c>
    </row>
    <row r="237">
      <c r="A237" s="126">
        <f t="shared" si="2"/>
        <v>2044</v>
      </c>
      <c r="B237" s="126">
        <f t="shared" si="3"/>
        <v>8</v>
      </c>
      <c r="C237" s="125">
        <f t="shared" si="1"/>
        <v>7207.722077</v>
      </c>
      <c r="D237" s="125">
        <f t="shared" si="4"/>
        <v>1633.103359</v>
      </c>
      <c r="E237" s="125">
        <f t="shared" si="5"/>
        <v>406765.1518</v>
      </c>
    </row>
    <row r="238">
      <c r="A238" s="126">
        <f t="shared" si="2"/>
        <v>2044</v>
      </c>
      <c r="B238" s="126">
        <f t="shared" si="3"/>
        <v>9</v>
      </c>
      <c r="C238" s="125">
        <f t="shared" si="1"/>
        <v>7207.722077</v>
      </c>
      <c r="D238" s="125">
        <f t="shared" si="4"/>
        <v>1611.024653</v>
      </c>
      <c r="E238" s="125">
        <f t="shared" si="5"/>
        <v>401168.4544</v>
      </c>
    </row>
    <row r="239">
      <c r="A239" s="126">
        <f t="shared" si="2"/>
        <v>2044</v>
      </c>
      <c r="B239" s="126">
        <f t="shared" si="3"/>
        <v>10</v>
      </c>
      <c r="C239" s="125">
        <f t="shared" si="1"/>
        <v>7207.722077</v>
      </c>
      <c r="D239" s="125">
        <f t="shared" si="4"/>
        <v>1588.858503</v>
      </c>
      <c r="E239" s="125">
        <f t="shared" si="5"/>
        <v>395549.5908</v>
      </c>
    </row>
    <row r="240">
      <c r="A240" s="126">
        <f t="shared" si="2"/>
        <v>2044</v>
      </c>
      <c r="B240" s="126">
        <f t="shared" si="3"/>
        <v>11</v>
      </c>
      <c r="C240" s="125">
        <f t="shared" si="1"/>
        <v>7207.722077</v>
      </c>
      <c r="D240" s="125">
        <f t="shared" si="4"/>
        <v>1566.604561</v>
      </c>
      <c r="E240" s="125">
        <f t="shared" si="5"/>
        <v>389908.4733</v>
      </c>
    </row>
    <row r="241">
      <c r="A241" s="126">
        <f t="shared" si="2"/>
        <v>2044</v>
      </c>
      <c r="B241" s="126">
        <f t="shared" si="3"/>
        <v>12</v>
      </c>
      <c r="C241" s="125">
        <f t="shared" si="1"/>
        <v>7207.722077</v>
      </c>
      <c r="D241" s="125">
        <f t="shared" si="4"/>
        <v>1544.262482</v>
      </c>
      <c r="E241" s="125">
        <f t="shared" si="5"/>
        <v>384245.0137</v>
      </c>
    </row>
    <row r="242">
      <c r="A242" s="126">
        <f t="shared" si="2"/>
        <v>2045</v>
      </c>
      <c r="B242" s="126">
        <f t="shared" si="3"/>
        <v>1</v>
      </c>
      <c r="C242" s="125">
        <f t="shared" si="1"/>
        <v>7207.722077</v>
      </c>
      <c r="D242" s="125">
        <f t="shared" si="4"/>
        <v>1521.831915</v>
      </c>
      <c r="E242" s="125">
        <f t="shared" si="5"/>
        <v>378559.1235</v>
      </c>
    </row>
    <row r="243">
      <c r="A243" s="126">
        <f t="shared" si="2"/>
        <v>2045</v>
      </c>
      <c r="B243" s="126">
        <f t="shared" si="3"/>
        <v>2</v>
      </c>
      <c r="C243" s="125">
        <f t="shared" si="1"/>
        <v>7207.722077</v>
      </c>
      <c r="D243" s="125">
        <f t="shared" si="4"/>
        <v>1499.31251</v>
      </c>
      <c r="E243" s="125">
        <f t="shared" si="5"/>
        <v>372850.7139</v>
      </c>
    </row>
    <row r="244">
      <c r="A244" s="126">
        <f t="shared" si="2"/>
        <v>2045</v>
      </c>
      <c r="B244" s="126">
        <f t="shared" si="3"/>
        <v>3</v>
      </c>
      <c r="C244" s="125">
        <f t="shared" si="1"/>
        <v>7207.722077</v>
      </c>
      <c r="D244" s="125">
        <f t="shared" si="4"/>
        <v>1476.703915</v>
      </c>
      <c r="E244" s="125">
        <f t="shared" si="5"/>
        <v>367119.6958</v>
      </c>
    </row>
    <row r="245">
      <c r="A245" s="126">
        <f t="shared" si="2"/>
        <v>2045</v>
      </c>
      <c r="B245" s="126">
        <f t="shared" si="3"/>
        <v>4</v>
      </c>
      <c r="C245" s="125">
        <f t="shared" si="1"/>
        <v>7207.722077</v>
      </c>
      <c r="D245" s="125">
        <f t="shared" si="4"/>
        <v>1454.005777</v>
      </c>
      <c r="E245" s="125">
        <f t="shared" si="5"/>
        <v>361365.9795</v>
      </c>
    </row>
    <row r="246">
      <c r="A246" s="126">
        <f t="shared" si="2"/>
        <v>2045</v>
      </c>
      <c r="B246" s="126">
        <f t="shared" si="3"/>
        <v>5</v>
      </c>
      <c r="C246" s="125">
        <f t="shared" si="1"/>
        <v>7207.722077</v>
      </c>
      <c r="D246" s="125">
        <f t="shared" si="4"/>
        <v>1431.217741</v>
      </c>
      <c r="E246" s="125">
        <f t="shared" si="5"/>
        <v>355589.4751</v>
      </c>
    </row>
    <row r="247">
      <c r="A247" s="126">
        <f t="shared" si="2"/>
        <v>2045</v>
      </c>
      <c r="B247" s="126">
        <f t="shared" si="3"/>
        <v>6</v>
      </c>
      <c r="C247" s="125">
        <f t="shared" si="1"/>
        <v>7207.722077</v>
      </c>
      <c r="D247" s="125">
        <f t="shared" si="4"/>
        <v>1408.339452</v>
      </c>
      <c r="E247" s="125">
        <f t="shared" si="5"/>
        <v>349790.0925</v>
      </c>
    </row>
    <row r="248">
      <c r="A248" s="126">
        <f t="shared" si="2"/>
        <v>2045</v>
      </c>
      <c r="B248" s="126">
        <f t="shared" si="3"/>
        <v>7</v>
      </c>
      <c r="C248" s="125">
        <f t="shared" si="1"/>
        <v>7207.722077</v>
      </c>
      <c r="D248" s="125">
        <f t="shared" si="4"/>
        <v>1385.370551</v>
      </c>
      <c r="E248" s="125">
        <f t="shared" si="5"/>
        <v>343967.741</v>
      </c>
    </row>
    <row r="249">
      <c r="A249" s="126">
        <f t="shared" si="2"/>
        <v>2045</v>
      </c>
      <c r="B249" s="126">
        <f t="shared" si="3"/>
        <v>8</v>
      </c>
      <c r="C249" s="125">
        <f t="shared" si="1"/>
        <v>7207.722077</v>
      </c>
      <c r="D249" s="125">
        <f t="shared" si="4"/>
        <v>1362.31068</v>
      </c>
      <c r="E249" s="125">
        <f t="shared" si="5"/>
        <v>338122.3296</v>
      </c>
    </row>
    <row r="250">
      <c r="A250" s="126">
        <f t="shared" si="2"/>
        <v>2045</v>
      </c>
      <c r="B250" s="126">
        <f t="shared" si="3"/>
        <v>9</v>
      </c>
      <c r="C250" s="125">
        <f t="shared" si="1"/>
        <v>7207.722077</v>
      </c>
      <c r="D250" s="125">
        <f t="shared" si="4"/>
        <v>1339.159479</v>
      </c>
      <c r="E250" s="125">
        <f t="shared" si="5"/>
        <v>332253.767</v>
      </c>
    </row>
    <row r="251">
      <c r="A251" s="126">
        <f t="shared" si="2"/>
        <v>2045</v>
      </c>
      <c r="B251" s="126">
        <f t="shared" si="3"/>
        <v>10</v>
      </c>
      <c r="C251" s="125">
        <f t="shared" si="1"/>
        <v>7207.722077</v>
      </c>
      <c r="D251" s="125">
        <f t="shared" si="4"/>
        <v>1315.916586</v>
      </c>
      <c r="E251" s="125">
        <f t="shared" si="5"/>
        <v>326361.9615</v>
      </c>
    </row>
    <row r="252">
      <c r="A252" s="126">
        <f t="shared" si="2"/>
        <v>2045</v>
      </c>
      <c r="B252" s="126">
        <f t="shared" si="3"/>
        <v>11</v>
      </c>
      <c r="C252" s="125">
        <f t="shared" si="1"/>
        <v>7207.722077</v>
      </c>
      <c r="D252" s="125">
        <f t="shared" si="4"/>
        <v>1292.581637</v>
      </c>
      <c r="E252" s="125">
        <f t="shared" si="5"/>
        <v>320446.8211</v>
      </c>
    </row>
    <row r="253">
      <c r="A253" s="126">
        <f t="shared" si="2"/>
        <v>2045</v>
      </c>
      <c r="B253" s="126">
        <f t="shared" si="3"/>
        <v>12</v>
      </c>
      <c r="C253" s="125">
        <f t="shared" si="1"/>
        <v>7207.722077</v>
      </c>
      <c r="D253" s="125">
        <f t="shared" si="4"/>
        <v>1269.154269</v>
      </c>
      <c r="E253" s="125">
        <f t="shared" si="5"/>
        <v>314508.2532</v>
      </c>
    </row>
    <row r="254">
      <c r="A254" s="126">
        <f t="shared" si="2"/>
        <v>2046</v>
      </c>
      <c r="B254" s="126">
        <f t="shared" si="3"/>
        <v>1</v>
      </c>
      <c r="C254" s="125">
        <f t="shared" si="1"/>
        <v>7207.722077</v>
      </c>
      <c r="D254" s="125">
        <f t="shared" si="4"/>
        <v>1245.634114</v>
      </c>
      <c r="E254" s="125">
        <f t="shared" si="5"/>
        <v>308546.1653</v>
      </c>
    </row>
    <row r="255">
      <c r="A255" s="126">
        <f t="shared" si="2"/>
        <v>2046</v>
      </c>
      <c r="B255" s="126">
        <f t="shared" si="3"/>
        <v>2</v>
      </c>
      <c r="C255" s="125">
        <f t="shared" si="1"/>
        <v>7207.722077</v>
      </c>
      <c r="D255" s="125">
        <f t="shared" si="4"/>
        <v>1222.020807</v>
      </c>
      <c r="E255" s="125">
        <f t="shared" si="5"/>
        <v>302560.464</v>
      </c>
    </row>
    <row r="256">
      <c r="A256" s="126">
        <f t="shared" si="2"/>
        <v>2046</v>
      </c>
      <c r="B256" s="126">
        <f t="shared" si="3"/>
        <v>3</v>
      </c>
      <c r="C256" s="125">
        <f t="shared" si="1"/>
        <v>7207.722077</v>
      </c>
      <c r="D256" s="125">
        <f t="shared" si="4"/>
        <v>1198.313977</v>
      </c>
      <c r="E256" s="125">
        <f t="shared" si="5"/>
        <v>296551.0559</v>
      </c>
    </row>
    <row r="257">
      <c r="A257" s="126">
        <f t="shared" si="2"/>
        <v>2046</v>
      </c>
      <c r="B257" s="126">
        <f t="shared" si="3"/>
        <v>4</v>
      </c>
      <c r="C257" s="125">
        <f t="shared" si="1"/>
        <v>7207.722077</v>
      </c>
      <c r="D257" s="125">
        <f t="shared" si="4"/>
        <v>1174.513254</v>
      </c>
      <c r="E257" s="125">
        <f t="shared" si="5"/>
        <v>290517.8471</v>
      </c>
    </row>
    <row r="258">
      <c r="A258" s="126">
        <f t="shared" si="2"/>
        <v>2046</v>
      </c>
      <c r="B258" s="126">
        <f t="shared" si="3"/>
        <v>5</v>
      </c>
      <c r="C258" s="125">
        <f t="shared" si="1"/>
        <v>7207.722077</v>
      </c>
      <c r="D258" s="125">
        <f t="shared" si="4"/>
        <v>1150.618266</v>
      </c>
      <c r="E258" s="125">
        <f t="shared" si="5"/>
        <v>284460.7433</v>
      </c>
    </row>
    <row r="259">
      <c r="A259" s="126">
        <f t="shared" si="2"/>
        <v>2046</v>
      </c>
      <c r="B259" s="126">
        <f t="shared" si="3"/>
        <v>6</v>
      </c>
      <c r="C259" s="125">
        <f t="shared" si="1"/>
        <v>7207.722077</v>
      </c>
      <c r="D259" s="125">
        <f t="shared" si="4"/>
        <v>1126.628641</v>
      </c>
      <c r="E259" s="125">
        <f t="shared" si="5"/>
        <v>278379.6498</v>
      </c>
    </row>
    <row r="260">
      <c r="A260" s="126">
        <f t="shared" si="2"/>
        <v>2046</v>
      </c>
      <c r="B260" s="126">
        <f t="shared" si="3"/>
        <v>7</v>
      </c>
      <c r="C260" s="125">
        <f t="shared" si="1"/>
        <v>7207.722077</v>
      </c>
      <c r="D260" s="125">
        <f t="shared" si="4"/>
        <v>1102.544003</v>
      </c>
      <c r="E260" s="125">
        <f t="shared" si="5"/>
        <v>272274.4718</v>
      </c>
    </row>
    <row r="261">
      <c r="A261" s="126">
        <f t="shared" si="2"/>
        <v>2046</v>
      </c>
      <c r="B261" s="126">
        <f t="shared" si="3"/>
        <v>8</v>
      </c>
      <c r="C261" s="125">
        <f t="shared" si="1"/>
        <v>7207.722077</v>
      </c>
      <c r="D261" s="125">
        <f t="shared" si="4"/>
        <v>1078.363976</v>
      </c>
      <c r="E261" s="125">
        <f t="shared" si="5"/>
        <v>266145.1137</v>
      </c>
    </row>
    <row r="262">
      <c r="A262" s="126">
        <f t="shared" si="2"/>
        <v>2046</v>
      </c>
      <c r="B262" s="126">
        <f t="shared" si="3"/>
        <v>9</v>
      </c>
      <c r="C262" s="125">
        <f t="shared" si="1"/>
        <v>7207.722077</v>
      </c>
      <c r="D262" s="125">
        <f t="shared" si="4"/>
        <v>1054.088182</v>
      </c>
      <c r="E262" s="125">
        <f t="shared" si="5"/>
        <v>259991.4798</v>
      </c>
    </row>
    <row r="263">
      <c r="A263" s="126">
        <f t="shared" si="2"/>
        <v>2046</v>
      </c>
      <c r="B263" s="126">
        <f t="shared" si="3"/>
        <v>10</v>
      </c>
      <c r="C263" s="125">
        <f t="shared" si="1"/>
        <v>7207.722077</v>
      </c>
      <c r="D263" s="125">
        <f t="shared" si="4"/>
        <v>1029.716242</v>
      </c>
      <c r="E263" s="125">
        <f t="shared" si="5"/>
        <v>253813.4739</v>
      </c>
    </row>
    <row r="264">
      <c r="A264" s="126">
        <f t="shared" si="2"/>
        <v>2046</v>
      </c>
      <c r="B264" s="126">
        <f t="shared" si="3"/>
        <v>11</v>
      </c>
      <c r="C264" s="125">
        <f t="shared" si="1"/>
        <v>7207.722077</v>
      </c>
      <c r="D264" s="125">
        <f t="shared" si="4"/>
        <v>1005.247775</v>
      </c>
      <c r="E264" s="125">
        <f t="shared" si="5"/>
        <v>247610.9996</v>
      </c>
    </row>
    <row r="265">
      <c r="A265" s="126">
        <f t="shared" si="2"/>
        <v>2046</v>
      </c>
      <c r="B265" s="126">
        <f t="shared" si="3"/>
        <v>12</v>
      </c>
      <c r="C265" s="125">
        <f t="shared" si="1"/>
        <v>7207.722077</v>
      </c>
      <c r="D265" s="125">
        <f t="shared" si="4"/>
        <v>980.6823987</v>
      </c>
      <c r="E265" s="125">
        <f t="shared" si="5"/>
        <v>241383.96</v>
      </c>
    </row>
    <row r="266">
      <c r="A266" s="126">
        <f t="shared" si="2"/>
        <v>2047</v>
      </c>
      <c r="B266" s="126">
        <f t="shared" si="3"/>
        <v>1</v>
      </c>
      <c r="C266" s="125">
        <f t="shared" si="1"/>
        <v>7207.722077</v>
      </c>
      <c r="D266" s="125">
        <f t="shared" si="4"/>
        <v>956.0197294</v>
      </c>
      <c r="E266" s="125">
        <f t="shared" si="5"/>
        <v>235132.2576</v>
      </c>
    </row>
    <row r="267">
      <c r="A267" s="126">
        <f t="shared" si="2"/>
        <v>2047</v>
      </c>
      <c r="B267" s="126">
        <f t="shared" si="3"/>
        <v>2</v>
      </c>
      <c r="C267" s="125">
        <f t="shared" si="1"/>
        <v>7207.722077</v>
      </c>
      <c r="D267" s="125">
        <f t="shared" si="4"/>
        <v>931.2593817</v>
      </c>
      <c r="E267" s="125">
        <f t="shared" si="5"/>
        <v>228855.7949</v>
      </c>
    </row>
    <row r="268">
      <c r="A268" s="126">
        <f t="shared" si="2"/>
        <v>2047</v>
      </c>
      <c r="B268" s="126">
        <f t="shared" si="3"/>
        <v>3</v>
      </c>
      <c r="C268" s="125">
        <f t="shared" si="1"/>
        <v>7207.722077</v>
      </c>
      <c r="D268" s="125">
        <f t="shared" si="4"/>
        <v>906.4009687</v>
      </c>
      <c r="E268" s="125">
        <f t="shared" si="5"/>
        <v>222554.4738</v>
      </c>
    </row>
    <row r="269">
      <c r="A269" s="126">
        <f t="shared" si="2"/>
        <v>2047</v>
      </c>
      <c r="B269" s="126">
        <f t="shared" si="3"/>
        <v>4</v>
      </c>
      <c r="C269" s="125">
        <f t="shared" si="1"/>
        <v>7207.722077</v>
      </c>
      <c r="D269" s="125">
        <f t="shared" si="4"/>
        <v>881.444102</v>
      </c>
      <c r="E269" s="125">
        <f t="shared" si="5"/>
        <v>216228.1958</v>
      </c>
    </row>
    <row r="270">
      <c r="A270" s="126">
        <f t="shared" si="2"/>
        <v>2047</v>
      </c>
      <c r="B270" s="126">
        <f t="shared" si="3"/>
        <v>5</v>
      </c>
      <c r="C270" s="125">
        <f t="shared" si="1"/>
        <v>7207.722077</v>
      </c>
      <c r="D270" s="125">
        <f t="shared" si="4"/>
        <v>856.3883918</v>
      </c>
      <c r="E270" s="125">
        <f t="shared" si="5"/>
        <v>209876.8621</v>
      </c>
    </row>
    <row r="271">
      <c r="A271" s="126">
        <f t="shared" si="2"/>
        <v>2047</v>
      </c>
      <c r="B271" s="126">
        <f t="shared" si="3"/>
        <v>6</v>
      </c>
      <c r="C271" s="125">
        <f t="shared" si="1"/>
        <v>7207.722077</v>
      </c>
      <c r="D271" s="125">
        <f t="shared" si="4"/>
        <v>831.2334465</v>
      </c>
      <c r="E271" s="125">
        <f t="shared" si="5"/>
        <v>203500.3735</v>
      </c>
    </row>
    <row r="272">
      <c r="A272" s="126">
        <f t="shared" si="2"/>
        <v>2047</v>
      </c>
      <c r="B272" s="126">
        <f t="shared" si="3"/>
        <v>7</v>
      </c>
      <c r="C272" s="125">
        <f t="shared" si="1"/>
        <v>7207.722077</v>
      </c>
      <c r="D272" s="125">
        <f t="shared" si="4"/>
        <v>805.978873</v>
      </c>
      <c r="E272" s="125">
        <f t="shared" si="5"/>
        <v>197098.6303</v>
      </c>
    </row>
    <row r="273">
      <c r="A273" s="126">
        <f t="shared" si="2"/>
        <v>2047</v>
      </c>
      <c r="B273" s="126">
        <f t="shared" si="3"/>
        <v>8</v>
      </c>
      <c r="C273" s="125">
        <f t="shared" si="1"/>
        <v>7207.722077</v>
      </c>
      <c r="D273" s="125">
        <f t="shared" si="4"/>
        <v>780.624277</v>
      </c>
      <c r="E273" s="125">
        <f t="shared" si="5"/>
        <v>190671.5325</v>
      </c>
    </row>
    <row r="274">
      <c r="A274" s="126">
        <f t="shared" si="2"/>
        <v>2047</v>
      </c>
      <c r="B274" s="126">
        <f t="shared" si="3"/>
        <v>9</v>
      </c>
      <c r="C274" s="125">
        <f t="shared" si="1"/>
        <v>7207.722077</v>
      </c>
      <c r="D274" s="125">
        <f t="shared" si="4"/>
        <v>755.1692621</v>
      </c>
      <c r="E274" s="125">
        <f t="shared" si="5"/>
        <v>184218.9797</v>
      </c>
    </row>
    <row r="275">
      <c r="A275" s="126">
        <f t="shared" si="2"/>
        <v>2047</v>
      </c>
      <c r="B275" s="126">
        <f t="shared" si="3"/>
        <v>10</v>
      </c>
      <c r="C275" s="125">
        <f t="shared" si="1"/>
        <v>7207.722077</v>
      </c>
      <c r="D275" s="125">
        <f t="shared" si="4"/>
        <v>729.6134306</v>
      </c>
      <c r="E275" s="125">
        <f t="shared" si="5"/>
        <v>177740.871</v>
      </c>
    </row>
    <row r="276">
      <c r="A276" s="126">
        <f t="shared" si="2"/>
        <v>2047</v>
      </c>
      <c r="B276" s="126">
        <f t="shared" si="3"/>
        <v>11</v>
      </c>
      <c r="C276" s="125">
        <f t="shared" si="1"/>
        <v>7207.722077</v>
      </c>
      <c r="D276" s="125">
        <f t="shared" si="4"/>
        <v>703.9563833</v>
      </c>
      <c r="E276" s="125">
        <f t="shared" si="5"/>
        <v>171237.1054</v>
      </c>
    </row>
    <row r="277">
      <c r="A277" s="126">
        <f t="shared" si="2"/>
        <v>2047</v>
      </c>
      <c r="B277" s="126">
        <f t="shared" si="3"/>
        <v>12</v>
      </c>
      <c r="C277" s="125">
        <f t="shared" si="1"/>
        <v>7207.722077</v>
      </c>
      <c r="D277" s="125">
        <f t="shared" si="4"/>
        <v>678.1977193</v>
      </c>
      <c r="E277" s="125">
        <f t="shared" si="5"/>
        <v>164707.581</v>
      </c>
    </row>
    <row r="278">
      <c r="A278" s="126">
        <f t="shared" si="2"/>
        <v>2048</v>
      </c>
      <c r="B278" s="126">
        <f t="shared" si="3"/>
        <v>1</v>
      </c>
      <c r="C278" s="125">
        <f t="shared" si="1"/>
        <v>7207.722077</v>
      </c>
      <c r="D278" s="125">
        <f t="shared" si="4"/>
        <v>652.3370361</v>
      </c>
      <c r="E278" s="125">
        <f t="shared" si="5"/>
        <v>158152.196</v>
      </c>
    </row>
    <row r="279">
      <c r="A279" s="126">
        <f t="shared" si="2"/>
        <v>2048</v>
      </c>
      <c r="B279" s="126">
        <f t="shared" si="3"/>
        <v>2</v>
      </c>
      <c r="C279" s="125">
        <f t="shared" si="1"/>
        <v>7207.722077</v>
      </c>
      <c r="D279" s="125">
        <f t="shared" si="4"/>
        <v>626.3739298</v>
      </c>
      <c r="E279" s="125">
        <f t="shared" si="5"/>
        <v>151570.8478</v>
      </c>
    </row>
    <row r="280">
      <c r="A280" s="126">
        <f t="shared" si="2"/>
        <v>2048</v>
      </c>
      <c r="B280" s="126">
        <f t="shared" si="3"/>
        <v>3</v>
      </c>
      <c r="C280" s="125">
        <f t="shared" si="1"/>
        <v>7207.722077</v>
      </c>
      <c r="D280" s="125">
        <f t="shared" si="4"/>
        <v>600.3079945</v>
      </c>
      <c r="E280" s="125">
        <f t="shared" si="5"/>
        <v>144963.4337</v>
      </c>
    </row>
    <row r="281">
      <c r="A281" s="126">
        <f t="shared" si="2"/>
        <v>2048</v>
      </c>
      <c r="B281" s="126">
        <f t="shared" si="3"/>
        <v>4</v>
      </c>
      <c r="C281" s="125">
        <f t="shared" si="1"/>
        <v>7207.722077</v>
      </c>
      <c r="D281" s="125">
        <f t="shared" si="4"/>
        <v>574.1388231</v>
      </c>
      <c r="E281" s="125">
        <f t="shared" si="5"/>
        <v>138329.8505</v>
      </c>
    </row>
    <row r="282">
      <c r="A282" s="126">
        <f t="shared" si="2"/>
        <v>2048</v>
      </c>
      <c r="B282" s="126">
        <f t="shared" si="3"/>
        <v>5</v>
      </c>
      <c r="C282" s="125">
        <f t="shared" si="1"/>
        <v>7207.722077</v>
      </c>
      <c r="D282" s="125">
        <f t="shared" si="4"/>
        <v>547.8660067</v>
      </c>
      <c r="E282" s="125">
        <f t="shared" si="5"/>
        <v>131669.9944</v>
      </c>
    </row>
    <row r="283">
      <c r="A283" s="126">
        <f t="shared" si="2"/>
        <v>2048</v>
      </c>
      <c r="B283" s="126">
        <f t="shared" si="3"/>
        <v>6</v>
      </c>
      <c r="C283" s="125">
        <f t="shared" si="1"/>
        <v>7207.722077</v>
      </c>
      <c r="D283" s="125">
        <f t="shared" si="4"/>
        <v>521.4891347</v>
      </c>
      <c r="E283" s="125">
        <f t="shared" si="5"/>
        <v>124983.7615</v>
      </c>
    </row>
    <row r="284">
      <c r="A284" s="126">
        <f t="shared" si="2"/>
        <v>2048</v>
      </c>
      <c r="B284" s="126">
        <f t="shared" si="3"/>
        <v>7</v>
      </c>
      <c r="C284" s="125">
        <f t="shared" si="1"/>
        <v>7207.722077</v>
      </c>
      <c r="D284" s="125">
        <f t="shared" si="4"/>
        <v>495.0077952</v>
      </c>
      <c r="E284" s="125">
        <f t="shared" si="5"/>
        <v>118271.0472</v>
      </c>
    </row>
    <row r="285">
      <c r="A285" s="126">
        <f t="shared" si="2"/>
        <v>2048</v>
      </c>
      <c r="B285" s="126">
        <f t="shared" si="3"/>
        <v>8</v>
      </c>
      <c r="C285" s="125">
        <f t="shared" si="1"/>
        <v>7207.722077</v>
      </c>
      <c r="D285" s="125">
        <f t="shared" si="4"/>
        <v>468.4215742</v>
      </c>
      <c r="E285" s="125">
        <f t="shared" si="5"/>
        <v>111531.7467</v>
      </c>
    </row>
    <row r="286">
      <c r="A286" s="126">
        <f t="shared" si="2"/>
        <v>2048</v>
      </c>
      <c r="B286" s="126">
        <f t="shared" si="3"/>
        <v>9</v>
      </c>
      <c r="C286" s="125">
        <f t="shared" si="1"/>
        <v>7207.722077</v>
      </c>
      <c r="D286" s="125">
        <f t="shared" si="4"/>
        <v>441.7300565</v>
      </c>
      <c r="E286" s="125">
        <f t="shared" si="5"/>
        <v>104765.7546</v>
      </c>
    </row>
    <row r="287">
      <c r="A287" s="126">
        <f t="shared" si="2"/>
        <v>2048</v>
      </c>
      <c r="B287" s="126">
        <f t="shared" si="3"/>
        <v>10</v>
      </c>
      <c r="C287" s="125">
        <f t="shared" si="1"/>
        <v>7207.722077</v>
      </c>
      <c r="D287" s="125">
        <f t="shared" si="4"/>
        <v>414.932825</v>
      </c>
      <c r="E287" s="125">
        <f t="shared" si="5"/>
        <v>97972.96539</v>
      </c>
    </row>
    <row r="288">
      <c r="A288" s="126">
        <f t="shared" si="2"/>
        <v>2048</v>
      </c>
      <c r="B288" s="126">
        <f t="shared" si="3"/>
        <v>11</v>
      </c>
      <c r="C288" s="125">
        <f t="shared" si="1"/>
        <v>7207.722077</v>
      </c>
      <c r="D288" s="125">
        <f t="shared" si="4"/>
        <v>388.029461</v>
      </c>
      <c r="E288" s="125">
        <f t="shared" si="5"/>
        <v>91153.27278</v>
      </c>
    </row>
    <row r="289">
      <c r="A289" s="126">
        <f t="shared" si="2"/>
        <v>2048</v>
      </c>
      <c r="B289" s="126">
        <f t="shared" si="3"/>
        <v>12</v>
      </c>
      <c r="C289" s="125">
        <f t="shared" si="1"/>
        <v>7207.722077</v>
      </c>
      <c r="D289" s="125">
        <f t="shared" si="4"/>
        <v>361.0195441</v>
      </c>
      <c r="E289" s="125">
        <f t="shared" si="5"/>
        <v>84306.57025</v>
      </c>
    </row>
    <row r="290">
      <c r="A290" s="126">
        <f t="shared" si="2"/>
        <v>2049</v>
      </c>
      <c r="B290" s="126">
        <f t="shared" si="3"/>
        <v>1</v>
      </c>
      <c r="C290" s="125">
        <f t="shared" si="1"/>
        <v>7207.722077</v>
      </c>
      <c r="D290" s="125">
        <f t="shared" si="4"/>
        <v>333.9026524</v>
      </c>
      <c r="E290" s="125">
        <f t="shared" si="5"/>
        <v>77432.75082</v>
      </c>
    </row>
    <row r="291">
      <c r="A291" s="126">
        <f t="shared" si="2"/>
        <v>2049</v>
      </c>
      <c r="B291" s="126">
        <f t="shared" si="3"/>
        <v>2</v>
      </c>
      <c r="C291" s="125">
        <f t="shared" si="1"/>
        <v>7207.722077</v>
      </c>
      <c r="D291" s="125">
        <f t="shared" si="4"/>
        <v>306.6783621</v>
      </c>
      <c r="E291" s="125">
        <f t="shared" si="5"/>
        <v>70531.70711</v>
      </c>
    </row>
    <row r="292">
      <c r="A292" s="126">
        <f t="shared" si="2"/>
        <v>2049</v>
      </c>
      <c r="B292" s="126">
        <f t="shared" si="3"/>
        <v>3</v>
      </c>
      <c r="C292" s="125">
        <f t="shared" si="1"/>
        <v>7207.722077</v>
      </c>
      <c r="D292" s="125">
        <f t="shared" si="4"/>
        <v>279.346248</v>
      </c>
      <c r="E292" s="125">
        <f t="shared" si="5"/>
        <v>63603.33128</v>
      </c>
    </row>
    <row r="293">
      <c r="A293" s="126">
        <f t="shared" si="2"/>
        <v>2049</v>
      </c>
      <c r="B293" s="126">
        <f t="shared" si="3"/>
        <v>4</v>
      </c>
      <c r="C293" s="125">
        <f t="shared" si="1"/>
        <v>7207.722077</v>
      </c>
      <c r="D293" s="125">
        <f t="shared" si="4"/>
        <v>251.9058829</v>
      </c>
      <c r="E293" s="125">
        <f t="shared" si="5"/>
        <v>56647.51508</v>
      </c>
    </row>
    <row r="294">
      <c r="A294" s="126">
        <f t="shared" si="2"/>
        <v>2049</v>
      </c>
      <c r="B294" s="126">
        <f t="shared" si="3"/>
        <v>5</v>
      </c>
      <c r="C294" s="125">
        <f t="shared" si="1"/>
        <v>7207.722077</v>
      </c>
      <c r="D294" s="125">
        <f t="shared" si="4"/>
        <v>224.3568382</v>
      </c>
      <c r="E294" s="125">
        <f t="shared" si="5"/>
        <v>49664.14984</v>
      </c>
    </row>
    <row r="295">
      <c r="A295" s="126">
        <f t="shared" si="2"/>
        <v>2049</v>
      </c>
      <c r="B295" s="126">
        <f t="shared" si="3"/>
        <v>6</v>
      </c>
      <c r="C295" s="125">
        <f t="shared" si="1"/>
        <v>7207.722077</v>
      </c>
      <c r="D295" s="125">
        <f t="shared" si="4"/>
        <v>196.6986833</v>
      </c>
      <c r="E295" s="125">
        <f t="shared" si="5"/>
        <v>42653.12645</v>
      </c>
    </row>
    <row r="296">
      <c r="A296" s="126">
        <f t="shared" si="2"/>
        <v>2049</v>
      </c>
      <c r="B296" s="126">
        <f t="shared" si="3"/>
        <v>7</v>
      </c>
      <c r="C296" s="125">
        <f t="shared" si="1"/>
        <v>7207.722077</v>
      </c>
      <c r="D296" s="125">
        <f t="shared" si="4"/>
        <v>168.9309862</v>
      </c>
      <c r="E296" s="125">
        <f t="shared" si="5"/>
        <v>35614.33536</v>
      </c>
    </row>
    <row r="297">
      <c r="A297" s="126">
        <f t="shared" si="2"/>
        <v>2049</v>
      </c>
      <c r="B297" s="126">
        <f t="shared" si="3"/>
        <v>8</v>
      </c>
      <c r="C297" s="125">
        <f t="shared" si="1"/>
        <v>7207.722077</v>
      </c>
      <c r="D297" s="125">
        <f t="shared" si="4"/>
        <v>141.053313</v>
      </c>
      <c r="E297" s="125">
        <f t="shared" si="5"/>
        <v>28547.66659</v>
      </c>
    </row>
    <row r="298">
      <c r="A298" s="126">
        <f t="shared" si="2"/>
        <v>2049</v>
      </c>
      <c r="B298" s="126">
        <f t="shared" si="3"/>
        <v>9</v>
      </c>
      <c r="C298" s="125">
        <f t="shared" si="1"/>
        <v>7207.722077</v>
      </c>
      <c r="D298" s="125">
        <f t="shared" si="4"/>
        <v>113.0652281</v>
      </c>
      <c r="E298" s="125">
        <f t="shared" si="5"/>
        <v>21453.00974</v>
      </c>
    </row>
    <row r="299">
      <c r="A299" s="126">
        <f t="shared" si="2"/>
        <v>2049</v>
      </c>
      <c r="B299" s="126">
        <f t="shared" si="3"/>
        <v>10</v>
      </c>
      <c r="C299" s="125">
        <f t="shared" si="1"/>
        <v>7207.722077</v>
      </c>
      <c r="D299" s="125">
        <f t="shared" si="4"/>
        <v>84.96629425</v>
      </c>
      <c r="E299" s="125">
        <f t="shared" si="5"/>
        <v>14330.25396</v>
      </c>
    </row>
    <row r="300">
      <c r="A300" s="126">
        <f t="shared" si="2"/>
        <v>2049</v>
      </c>
      <c r="B300" s="126">
        <f t="shared" si="3"/>
        <v>11</v>
      </c>
      <c r="C300" s="125">
        <f t="shared" si="1"/>
        <v>7207.722077</v>
      </c>
      <c r="D300" s="125">
        <f t="shared" si="4"/>
        <v>56.75607242</v>
      </c>
      <c r="E300" s="125">
        <f t="shared" si="5"/>
        <v>7179.287955</v>
      </c>
    </row>
    <row r="301">
      <c r="A301" s="126">
        <f t="shared" si="2"/>
        <v>2049</v>
      </c>
      <c r="B301" s="126">
        <f t="shared" si="3"/>
        <v>12</v>
      </c>
      <c r="C301" s="125">
        <f t="shared" si="1"/>
        <v>7207.722077</v>
      </c>
      <c r="D301" s="125">
        <f t="shared" si="4"/>
        <v>28.43412184</v>
      </c>
      <c r="E301" s="125">
        <f t="shared" si="5"/>
        <v>0.0000000008158167475</v>
      </c>
    </row>
    <row r="302">
      <c r="A302" s="126">
        <f t="shared" si="2"/>
        <v>2050</v>
      </c>
      <c r="B302" s="126">
        <f t="shared" si="3"/>
        <v>1</v>
      </c>
      <c r="C302" s="125">
        <f t="shared" si="1"/>
        <v>7207.722077</v>
      </c>
      <c r="D302" s="125">
        <f t="shared" si="4"/>
        <v>0</v>
      </c>
      <c r="E302" s="125">
        <f t="shared" si="5"/>
        <v>0</v>
      </c>
    </row>
    <row r="303">
      <c r="A303" s="126">
        <f t="shared" si="2"/>
        <v>2050</v>
      </c>
      <c r="B303" s="126">
        <f t="shared" si="3"/>
        <v>2</v>
      </c>
      <c r="C303" s="125">
        <f t="shared" si="1"/>
        <v>7207.722077</v>
      </c>
      <c r="D303" s="125">
        <f t="shared" si="4"/>
        <v>0</v>
      </c>
      <c r="E303" s="125">
        <f t="shared" si="5"/>
        <v>0</v>
      </c>
    </row>
    <row r="304">
      <c r="A304" s="126">
        <f t="shared" si="2"/>
        <v>2050</v>
      </c>
      <c r="B304" s="126">
        <f t="shared" si="3"/>
        <v>3</v>
      </c>
      <c r="C304" s="125">
        <f t="shared" si="1"/>
        <v>7207.722077</v>
      </c>
      <c r="D304" s="125">
        <f t="shared" si="4"/>
        <v>0</v>
      </c>
      <c r="E304" s="125">
        <f t="shared" si="5"/>
        <v>0</v>
      </c>
    </row>
    <row r="305">
      <c r="A305" s="126">
        <f t="shared" si="2"/>
        <v>2050</v>
      </c>
      <c r="B305" s="126">
        <f t="shared" si="3"/>
        <v>4</v>
      </c>
      <c r="C305" s="125">
        <f t="shared" si="1"/>
        <v>7207.722077</v>
      </c>
      <c r="D305" s="125">
        <f t="shared" si="4"/>
        <v>0</v>
      </c>
      <c r="E305" s="125">
        <f t="shared" si="5"/>
        <v>0</v>
      </c>
    </row>
    <row r="306">
      <c r="A306" s="126">
        <f t="shared" si="2"/>
        <v>2050</v>
      </c>
      <c r="B306" s="126">
        <f t="shared" si="3"/>
        <v>5</v>
      </c>
      <c r="C306" s="125">
        <f t="shared" si="1"/>
        <v>7207.722077</v>
      </c>
      <c r="D306" s="125">
        <f t="shared" si="4"/>
        <v>0</v>
      </c>
      <c r="E306" s="125">
        <f t="shared" si="5"/>
        <v>0</v>
      </c>
    </row>
    <row r="307">
      <c r="A307" s="126">
        <f t="shared" si="2"/>
        <v>2050</v>
      </c>
      <c r="B307" s="126">
        <f t="shared" si="3"/>
        <v>6</v>
      </c>
      <c r="C307" s="125">
        <f t="shared" si="1"/>
        <v>7207.722077</v>
      </c>
      <c r="D307" s="125">
        <f t="shared" si="4"/>
        <v>0</v>
      </c>
      <c r="E307" s="125">
        <f t="shared" si="5"/>
        <v>0</v>
      </c>
    </row>
    <row r="308">
      <c r="A308" s="126">
        <f t="shared" si="2"/>
        <v>2050</v>
      </c>
      <c r="B308" s="126">
        <f t="shared" si="3"/>
        <v>7</v>
      </c>
      <c r="C308" s="125">
        <f t="shared" si="1"/>
        <v>7207.722077</v>
      </c>
      <c r="D308" s="125">
        <f t="shared" si="4"/>
        <v>0</v>
      </c>
      <c r="E308" s="125">
        <f t="shared" si="5"/>
        <v>0</v>
      </c>
    </row>
    <row r="309">
      <c r="A309" s="126">
        <f t="shared" si="2"/>
        <v>2050</v>
      </c>
      <c r="B309" s="126">
        <f t="shared" si="3"/>
        <v>8</v>
      </c>
      <c r="C309" s="125">
        <f t="shared" si="1"/>
        <v>7207.722077</v>
      </c>
      <c r="D309" s="125">
        <f t="shared" si="4"/>
        <v>0</v>
      </c>
      <c r="E309" s="125">
        <f t="shared" si="5"/>
        <v>0</v>
      </c>
    </row>
    <row r="310">
      <c r="A310" s="126">
        <f t="shared" si="2"/>
        <v>2050</v>
      </c>
      <c r="B310" s="126">
        <f t="shared" si="3"/>
        <v>9</v>
      </c>
      <c r="C310" s="125">
        <f t="shared" si="1"/>
        <v>7207.722077</v>
      </c>
      <c r="D310" s="125">
        <f t="shared" si="4"/>
        <v>0</v>
      </c>
      <c r="E310" s="125">
        <f t="shared" si="5"/>
        <v>0</v>
      </c>
    </row>
    <row r="311">
      <c r="A311" s="126">
        <f t="shared" si="2"/>
        <v>2050</v>
      </c>
      <c r="B311" s="126">
        <f t="shared" si="3"/>
        <v>10</v>
      </c>
      <c r="C311" s="125">
        <f t="shared" si="1"/>
        <v>7207.722077</v>
      </c>
      <c r="D311" s="125">
        <f t="shared" si="4"/>
        <v>0</v>
      </c>
      <c r="E311" s="125">
        <f t="shared" si="5"/>
        <v>0</v>
      </c>
    </row>
    <row r="312">
      <c r="A312" s="126">
        <f t="shared" si="2"/>
        <v>2050</v>
      </c>
      <c r="B312" s="126">
        <f t="shared" si="3"/>
        <v>11</v>
      </c>
      <c r="C312" s="125">
        <f t="shared" si="1"/>
        <v>7207.722077</v>
      </c>
      <c r="D312" s="125">
        <f t="shared" si="4"/>
        <v>0</v>
      </c>
      <c r="E312" s="125">
        <f t="shared" si="5"/>
        <v>0</v>
      </c>
    </row>
    <row r="313">
      <c r="A313" s="126">
        <f t="shared" si="2"/>
        <v>2050</v>
      </c>
      <c r="B313" s="126">
        <f t="shared" si="3"/>
        <v>12</v>
      </c>
      <c r="C313" s="125">
        <f t="shared" si="1"/>
        <v>7207.722077</v>
      </c>
      <c r="D313" s="125">
        <f t="shared" si="4"/>
        <v>0</v>
      </c>
      <c r="E313" s="125">
        <f t="shared" si="5"/>
        <v>0</v>
      </c>
    </row>
    <row r="314">
      <c r="A314" s="126">
        <f t="shared" si="2"/>
        <v>2051</v>
      </c>
      <c r="B314" s="126">
        <f t="shared" si="3"/>
        <v>1</v>
      </c>
      <c r="C314" s="125">
        <f t="shared" si="1"/>
        <v>7207.722077</v>
      </c>
      <c r="D314" s="125">
        <f t="shared" si="4"/>
        <v>0</v>
      </c>
      <c r="E314" s="125">
        <f t="shared" si="5"/>
        <v>0</v>
      </c>
    </row>
    <row r="315">
      <c r="A315" s="126">
        <f t="shared" si="2"/>
        <v>2051</v>
      </c>
      <c r="B315" s="126">
        <f t="shared" si="3"/>
        <v>2</v>
      </c>
      <c r="C315" s="125">
        <f t="shared" si="1"/>
        <v>7207.722077</v>
      </c>
      <c r="D315" s="125">
        <f t="shared" si="4"/>
        <v>0</v>
      </c>
      <c r="E315" s="125">
        <f t="shared" si="5"/>
        <v>0</v>
      </c>
    </row>
    <row r="316">
      <c r="A316" s="126">
        <f t="shared" si="2"/>
        <v>2051</v>
      </c>
      <c r="B316" s="126">
        <f t="shared" si="3"/>
        <v>3</v>
      </c>
      <c r="C316" s="125">
        <f t="shared" si="1"/>
        <v>7207.722077</v>
      </c>
      <c r="D316" s="125">
        <f t="shared" si="4"/>
        <v>0</v>
      </c>
      <c r="E316" s="125">
        <f t="shared" si="5"/>
        <v>0</v>
      </c>
    </row>
    <row r="317">
      <c r="A317" s="126">
        <f t="shared" si="2"/>
        <v>2051</v>
      </c>
      <c r="B317" s="126">
        <f t="shared" si="3"/>
        <v>4</v>
      </c>
      <c r="C317" s="125">
        <f t="shared" si="1"/>
        <v>7207.722077</v>
      </c>
      <c r="D317" s="125">
        <f t="shared" si="4"/>
        <v>0</v>
      </c>
      <c r="E317" s="125">
        <f t="shared" si="5"/>
        <v>0</v>
      </c>
    </row>
    <row r="318">
      <c r="A318" s="126">
        <f t="shared" si="2"/>
        <v>2051</v>
      </c>
      <c r="B318" s="126">
        <f t="shared" si="3"/>
        <v>5</v>
      </c>
      <c r="C318" s="125">
        <f t="shared" si="1"/>
        <v>7207.722077</v>
      </c>
      <c r="D318" s="125">
        <f t="shared" si="4"/>
        <v>0</v>
      </c>
      <c r="E318" s="125">
        <f t="shared" si="5"/>
        <v>0</v>
      </c>
    </row>
    <row r="319">
      <c r="A319" s="126">
        <f t="shared" si="2"/>
        <v>2051</v>
      </c>
      <c r="B319" s="126">
        <f t="shared" si="3"/>
        <v>6</v>
      </c>
      <c r="C319" s="125">
        <f t="shared" si="1"/>
        <v>7207.722077</v>
      </c>
      <c r="D319" s="125">
        <f t="shared" si="4"/>
        <v>0</v>
      </c>
      <c r="E319" s="125">
        <f t="shared" si="5"/>
        <v>0</v>
      </c>
    </row>
    <row r="320">
      <c r="A320" s="126">
        <f t="shared" si="2"/>
        <v>2051</v>
      </c>
      <c r="B320" s="126">
        <f t="shared" si="3"/>
        <v>7</v>
      </c>
      <c r="C320" s="125">
        <f t="shared" si="1"/>
        <v>7207.722077</v>
      </c>
      <c r="D320" s="125">
        <f t="shared" si="4"/>
        <v>0</v>
      </c>
      <c r="E320" s="125">
        <f t="shared" si="5"/>
        <v>0</v>
      </c>
    </row>
    <row r="321">
      <c r="A321" s="126">
        <f t="shared" si="2"/>
        <v>2051</v>
      </c>
      <c r="B321" s="126">
        <f t="shared" si="3"/>
        <v>8</v>
      </c>
      <c r="C321" s="125">
        <f t="shared" si="1"/>
        <v>7207.722077</v>
      </c>
      <c r="D321" s="125">
        <f t="shared" si="4"/>
        <v>0</v>
      </c>
      <c r="E321" s="125">
        <f t="shared" si="5"/>
        <v>0</v>
      </c>
    </row>
    <row r="322">
      <c r="A322" s="126">
        <f t="shared" si="2"/>
        <v>2051</v>
      </c>
      <c r="B322" s="126">
        <f t="shared" si="3"/>
        <v>9</v>
      </c>
      <c r="C322" s="125">
        <f t="shared" si="1"/>
        <v>7207.722077</v>
      </c>
      <c r="D322" s="125">
        <f t="shared" si="4"/>
        <v>0</v>
      </c>
      <c r="E322" s="125">
        <f t="shared" si="5"/>
        <v>0</v>
      </c>
    </row>
    <row r="323">
      <c r="A323" s="126">
        <f t="shared" si="2"/>
        <v>2051</v>
      </c>
      <c r="B323" s="126">
        <f t="shared" si="3"/>
        <v>10</v>
      </c>
      <c r="C323" s="125">
        <f t="shared" si="1"/>
        <v>7207.722077</v>
      </c>
      <c r="D323" s="125">
        <f t="shared" si="4"/>
        <v>0</v>
      </c>
      <c r="E323" s="125">
        <f t="shared" si="5"/>
        <v>0</v>
      </c>
    </row>
    <row r="324">
      <c r="A324" s="126">
        <f t="shared" si="2"/>
        <v>2051</v>
      </c>
      <c r="B324" s="126">
        <f t="shared" si="3"/>
        <v>11</v>
      </c>
      <c r="C324" s="125">
        <f t="shared" si="1"/>
        <v>7207.722077</v>
      </c>
      <c r="D324" s="125">
        <f t="shared" si="4"/>
        <v>0</v>
      </c>
      <c r="E324" s="125">
        <f t="shared" si="5"/>
        <v>0</v>
      </c>
    </row>
    <row r="325">
      <c r="A325" s="126">
        <f t="shared" si="2"/>
        <v>2051</v>
      </c>
      <c r="B325" s="126">
        <f t="shared" si="3"/>
        <v>12</v>
      </c>
      <c r="C325" s="125">
        <f t="shared" si="1"/>
        <v>7207.722077</v>
      </c>
      <c r="D325" s="125">
        <f t="shared" si="4"/>
        <v>0</v>
      </c>
      <c r="E325" s="125">
        <f t="shared" si="5"/>
        <v>0</v>
      </c>
    </row>
    <row r="326">
      <c r="A326" s="126">
        <f t="shared" si="2"/>
        <v>2052</v>
      </c>
      <c r="B326" s="126">
        <f t="shared" si="3"/>
        <v>1</v>
      </c>
      <c r="C326" s="125">
        <f t="shared" si="1"/>
        <v>7207.722077</v>
      </c>
      <c r="D326" s="125">
        <f t="shared" si="4"/>
        <v>0</v>
      </c>
      <c r="E326" s="125">
        <f t="shared" si="5"/>
        <v>0</v>
      </c>
    </row>
    <row r="327">
      <c r="A327" s="126">
        <f t="shared" si="2"/>
        <v>2052</v>
      </c>
      <c r="B327" s="126">
        <f t="shared" si="3"/>
        <v>2</v>
      </c>
      <c r="C327" s="125">
        <f t="shared" si="1"/>
        <v>7207.722077</v>
      </c>
      <c r="D327" s="125">
        <f t="shared" si="4"/>
        <v>0</v>
      </c>
      <c r="E327" s="125">
        <f t="shared" si="5"/>
        <v>0</v>
      </c>
    </row>
    <row r="328">
      <c r="A328" s="126">
        <f t="shared" si="2"/>
        <v>2052</v>
      </c>
      <c r="B328" s="126">
        <f t="shared" si="3"/>
        <v>3</v>
      </c>
      <c r="C328" s="125">
        <f t="shared" si="1"/>
        <v>7207.722077</v>
      </c>
      <c r="D328" s="125">
        <f t="shared" si="4"/>
        <v>0</v>
      </c>
      <c r="E328" s="125">
        <f t="shared" si="5"/>
        <v>0</v>
      </c>
    </row>
    <row r="329">
      <c r="A329" s="126">
        <f t="shared" si="2"/>
        <v>2052</v>
      </c>
      <c r="B329" s="126">
        <f t="shared" si="3"/>
        <v>4</v>
      </c>
      <c r="C329" s="125">
        <f t="shared" si="1"/>
        <v>7207.722077</v>
      </c>
      <c r="D329" s="125">
        <f t="shared" si="4"/>
        <v>0</v>
      </c>
      <c r="E329" s="125">
        <f t="shared" si="5"/>
        <v>0</v>
      </c>
    </row>
    <row r="330">
      <c r="A330" s="126">
        <f t="shared" si="2"/>
        <v>2052</v>
      </c>
      <c r="B330" s="126">
        <f t="shared" si="3"/>
        <v>5</v>
      </c>
      <c r="C330" s="125">
        <f t="shared" si="1"/>
        <v>7207.722077</v>
      </c>
      <c r="D330" s="125">
        <f t="shared" si="4"/>
        <v>0</v>
      </c>
      <c r="E330" s="125">
        <f t="shared" si="5"/>
        <v>0</v>
      </c>
    </row>
    <row r="331">
      <c r="A331" s="126">
        <f t="shared" si="2"/>
        <v>2052</v>
      </c>
      <c r="B331" s="126">
        <f t="shared" si="3"/>
        <v>6</v>
      </c>
      <c r="C331" s="125">
        <f t="shared" si="1"/>
        <v>7207.722077</v>
      </c>
      <c r="D331" s="125">
        <f t="shared" si="4"/>
        <v>0</v>
      </c>
      <c r="E331" s="125">
        <f t="shared" si="5"/>
        <v>0</v>
      </c>
    </row>
    <row r="332">
      <c r="A332" s="126">
        <f t="shared" si="2"/>
        <v>2052</v>
      </c>
      <c r="B332" s="126">
        <f t="shared" si="3"/>
        <v>7</v>
      </c>
      <c r="C332" s="125">
        <f t="shared" si="1"/>
        <v>7207.722077</v>
      </c>
      <c r="D332" s="125">
        <f t="shared" si="4"/>
        <v>0</v>
      </c>
      <c r="E332" s="125">
        <f t="shared" si="5"/>
        <v>0</v>
      </c>
    </row>
    <row r="333">
      <c r="A333" s="126">
        <f t="shared" si="2"/>
        <v>2052</v>
      </c>
      <c r="B333" s="126">
        <f t="shared" si="3"/>
        <v>8</v>
      </c>
      <c r="C333" s="125">
        <f t="shared" si="1"/>
        <v>7207.722077</v>
      </c>
      <c r="D333" s="125">
        <f t="shared" si="4"/>
        <v>0</v>
      </c>
      <c r="E333" s="125">
        <f t="shared" si="5"/>
        <v>0</v>
      </c>
    </row>
    <row r="334">
      <c r="A334" s="126">
        <f t="shared" si="2"/>
        <v>2052</v>
      </c>
      <c r="B334" s="126">
        <f t="shared" si="3"/>
        <v>9</v>
      </c>
      <c r="C334" s="125">
        <f t="shared" si="1"/>
        <v>7207.722077</v>
      </c>
      <c r="D334" s="125">
        <f t="shared" si="4"/>
        <v>0</v>
      </c>
      <c r="E334" s="125">
        <f t="shared" si="5"/>
        <v>0</v>
      </c>
    </row>
    <row r="335">
      <c r="A335" s="126">
        <f t="shared" si="2"/>
        <v>2052</v>
      </c>
      <c r="B335" s="126">
        <f t="shared" si="3"/>
        <v>10</v>
      </c>
      <c r="C335" s="125">
        <f t="shared" si="1"/>
        <v>7207.722077</v>
      </c>
      <c r="D335" s="125">
        <f t="shared" si="4"/>
        <v>0</v>
      </c>
      <c r="E335" s="125">
        <f t="shared" si="5"/>
        <v>0</v>
      </c>
    </row>
    <row r="336">
      <c r="A336" s="126">
        <f t="shared" si="2"/>
        <v>2052</v>
      </c>
      <c r="B336" s="126">
        <f t="shared" si="3"/>
        <v>11</v>
      </c>
      <c r="C336" s="125">
        <f t="shared" si="1"/>
        <v>7207.722077</v>
      </c>
      <c r="D336" s="125">
        <f t="shared" si="4"/>
        <v>0</v>
      </c>
      <c r="E336" s="125">
        <f t="shared" si="5"/>
        <v>0</v>
      </c>
    </row>
    <row r="337">
      <c r="A337" s="126">
        <f t="shared" si="2"/>
        <v>2052</v>
      </c>
      <c r="B337" s="126">
        <f t="shared" si="3"/>
        <v>12</v>
      </c>
      <c r="C337" s="125">
        <f t="shared" si="1"/>
        <v>7207.722077</v>
      </c>
      <c r="D337" s="125">
        <f t="shared" si="4"/>
        <v>0</v>
      </c>
      <c r="E337" s="125">
        <f t="shared" si="5"/>
        <v>0</v>
      </c>
    </row>
    <row r="338">
      <c r="A338" s="126">
        <f t="shared" si="2"/>
        <v>2053</v>
      </c>
      <c r="B338" s="126">
        <f t="shared" si="3"/>
        <v>1</v>
      </c>
      <c r="C338" s="125">
        <f t="shared" si="1"/>
        <v>7207.722077</v>
      </c>
      <c r="D338" s="125">
        <f t="shared" si="4"/>
        <v>0</v>
      </c>
      <c r="E338" s="125">
        <f t="shared" si="5"/>
        <v>0</v>
      </c>
    </row>
    <row r="339">
      <c r="A339" s="126">
        <f t="shared" si="2"/>
        <v>2053</v>
      </c>
      <c r="B339" s="126">
        <f t="shared" si="3"/>
        <v>2</v>
      </c>
      <c r="C339" s="125">
        <f t="shared" si="1"/>
        <v>7207.722077</v>
      </c>
      <c r="D339" s="125">
        <f t="shared" si="4"/>
        <v>0</v>
      </c>
      <c r="E339" s="125">
        <f t="shared" si="5"/>
        <v>0</v>
      </c>
    </row>
    <row r="340">
      <c r="A340" s="126">
        <f t="shared" si="2"/>
        <v>2053</v>
      </c>
      <c r="B340" s="126">
        <f t="shared" si="3"/>
        <v>3</v>
      </c>
      <c r="C340" s="125">
        <f t="shared" si="1"/>
        <v>7207.722077</v>
      </c>
      <c r="D340" s="125">
        <f t="shared" si="4"/>
        <v>0</v>
      </c>
      <c r="E340" s="125">
        <f t="shared" si="5"/>
        <v>0</v>
      </c>
    </row>
    <row r="341">
      <c r="A341" s="126">
        <f t="shared" si="2"/>
        <v>2053</v>
      </c>
      <c r="B341" s="126">
        <f t="shared" si="3"/>
        <v>4</v>
      </c>
      <c r="C341" s="125">
        <f t="shared" si="1"/>
        <v>7207.722077</v>
      </c>
      <c r="D341" s="125">
        <f t="shared" si="4"/>
        <v>0</v>
      </c>
      <c r="E341" s="125">
        <f t="shared" si="5"/>
        <v>0</v>
      </c>
    </row>
    <row r="342">
      <c r="A342" s="126">
        <f t="shared" si="2"/>
        <v>2053</v>
      </c>
      <c r="B342" s="126">
        <f t="shared" si="3"/>
        <v>5</v>
      </c>
      <c r="C342" s="125">
        <f t="shared" si="1"/>
        <v>7207.722077</v>
      </c>
      <c r="D342" s="125">
        <f t="shared" si="4"/>
        <v>0</v>
      </c>
      <c r="E342" s="125">
        <f t="shared" si="5"/>
        <v>0</v>
      </c>
    </row>
    <row r="343">
      <c r="A343" s="126">
        <f t="shared" si="2"/>
        <v>2053</v>
      </c>
      <c r="B343" s="126">
        <f t="shared" si="3"/>
        <v>6</v>
      </c>
      <c r="C343" s="125">
        <f t="shared" si="1"/>
        <v>7207.722077</v>
      </c>
      <c r="D343" s="125">
        <f t="shared" si="4"/>
        <v>0</v>
      </c>
      <c r="E343" s="125">
        <f t="shared" si="5"/>
        <v>0</v>
      </c>
    </row>
    <row r="344">
      <c r="A344" s="126">
        <f t="shared" si="2"/>
        <v>2053</v>
      </c>
      <c r="B344" s="126">
        <f t="shared" si="3"/>
        <v>7</v>
      </c>
      <c r="C344" s="125">
        <f t="shared" si="1"/>
        <v>7207.722077</v>
      </c>
      <c r="D344" s="125">
        <f t="shared" si="4"/>
        <v>0</v>
      </c>
      <c r="E344" s="125">
        <f t="shared" si="5"/>
        <v>0</v>
      </c>
    </row>
    <row r="345">
      <c r="A345" s="126">
        <f t="shared" si="2"/>
        <v>2053</v>
      </c>
      <c r="B345" s="126">
        <f t="shared" si="3"/>
        <v>8</v>
      </c>
      <c r="C345" s="125">
        <f t="shared" si="1"/>
        <v>7207.722077</v>
      </c>
      <c r="D345" s="125">
        <f t="shared" si="4"/>
        <v>0</v>
      </c>
      <c r="E345" s="125">
        <f t="shared" si="5"/>
        <v>0</v>
      </c>
    </row>
    <row r="346">
      <c r="A346" s="126">
        <f t="shared" si="2"/>
        <v>2053</v>
      </c>
      <c r="B346" s="126">
        <f t="shared" si="3"/>
        <v>9</v>
      </c>
      <c r="C346" s="125">
        <f t="shared" si="1"/>
        <v>7207.722077</v>
      </c>
      <c r="D346" s="125">
        <f t="shared" si="4"/>
        <v>0</v>
      </c>
      <c r="E346" s="125">
        <f t="shared" si="5"/>
        <v>0</v>
      </c>
    </row>
    <row r="347">
      <c r="A347" s="126">
        <f t="shared" si="2"/>
        <v>2053</v>
      </c>
      <c r="B347" s="126">
        <f t="shared" si="3"/>
        <v>10</v>
      </c>
      <c r="C347" s="125">
        <f t="shared" si="1"/>
        <v>7207.722077</v>
      </c>
      <c r="D347" s="125">
        <f t="shared" si="4"/>
        <v>0</v>
      </c>
      <c r="E347" s="125">
        <f t="shared" si="5"/>
        <v>0</v>
      </c>
    </row>
    <row r="348">
      <c r="A348" s="126">
        <f t="shared" si="2"/>
        <v>2053</v>
      </c>
      <c r="B348" s="126">
        <f t="shared" si="3"/>
        <v>11</v>
      </c>
      <c r="C348" s="125">
        <f t="shared" si="1"/>
        <v>7207.722077</v>
      </c>
      <c r="D348" s="125">
        <f t="shared" si="4"/>
        <v>0</v>
      </c>
      <c r="E348" s="125">
        <f t="shared" si="5"/>
        <v>0</v>
      </c>
    </row>
    <row r="349">
      <c r="A349" s="126">
        <f t="shared" si="2"/>
        <v>2053</v>
      </c>
      <c r="B349" s="126">
        <f t="shared" si="3"/>
        <v>12</v>
      </c>
      <c r="C349" s="125">
        <f t="shared" si="1"/>
        <v>7207.722077</v>
      </c>
      <c r="D349" s="125">
        <f t="shared" si="4"/>
        <v>0</v>
      </c>
      <c r="E349" s="125">
        <f t="shared" si="5"/>
        <v>0</v>
      </c>
    </row>
    <row r="350">
      <c r="A350" s="126">
        <f t="shared" si="2"/>
        <v>2054</v>
      </c>
      <c r="B350" s="126">
        <f t="shared" si="3"/>
        <v>1</v>
      </c>
      <c r="C350" s="125">
        <f t="shared" si="1"/>
        <v>7207.722077</v>
      </c>
      <c r="D350" s="125">
        <f t="shared" si="4"/>
        <v>0</v>
      </c>
      <c r="E350" s="125">
        <f t="shared" si="5"/>
        <v>0</v>
      </c>
    </row>
    <row r="351">
      <c r="A351" s="126">
        <f t="shared" si="2"/>
        <v>2054</v>
      </c>
      <c r="B351" s="126">
        <f t="shared" si="3"/>
        <v>2</v>
      </c>
      <c r="C351" s="125">
        <f t="shared" si="1"/>
        <v>7207.722077</v>
      </c>
      <c r="D351" s="125">
        <f t="shared" si="4"/>
        <v>0</v>
      </c>
      <c r="E351" s="125">
        <f t="shared" si="5"/>
        <v>0</v>
      </c>
    </row>
    <row r="352">
      <c r="A352" s="126">
        <f t="shared" si="2"/>
        <v>2054</v>
      </c>
      <c r="B352" s="126">
        <f t="shared" si="3"/>
        <v>3</v>
      </c>
      <c r="C352" s="125">
        <f t="shared" si="1"/>
        <v>7207.722077</v>
      </c>
      <c r="D352" s="125">
        <f t="shared" si="4"/>
        <v>0</v>
      </c>
      <c r="E352" s="125">
        <f t="shared" si="5"/>
        <v>0</v>
      </c>
    </row>
    <row r="353">
      <c r="A353" s="126">
        <f t="shared" si="2"/>
        <v>2054</v>
      </c>
      <c r="B353" s="126">
        <f t="shared" si="3"/>
        <v>4</v>
      </c>
      <c r="C353" s="125">
        <f t="shared" si="1"/>
        <v>7207.722077</v>
      </c>
      <c r="D353" s="125">
        <f t="shared" si="4"/>
        <v>0</v>
      </c>
      <c r="E353" s="125">
        <f t="shared" si="5"/>
        <v>0</v>
      </c>
    </row>
    <row r="354">
      <c r="A354" s="126">
        <f t="shared" si="2"/>
        <v>2054</v>
      </c>
      <c r="B354" s="126">
        <f t="shared" si="3"/>
        <v>5</v>
      </c>
      <c r="C354" s="125">
        <f t="shared" si="1"/>
        <v>7207.722077</v>
      </c>
      <c r="D354" s="125">
        <f t="shared" si="4"/>
        <v>0</v>
      </c>
      <c r="E354" s="125">
        <f t="shared" si="5"/>
        <v>0</v>
      </c>
    </row>
    <row r="355">
      <c r="A355" s="126">
        <f t="shared" si="2"/>
        <v>2054</v>
      </c>
      <c r="B355" s="126">
        <f t="shared" si="3"/>
        <v>6</v>
      </c>
      <c r="C355" s="125">
        <f t="shared" si="1"/>
        <v>7207.722077</v>
      </c>
      <c r="D355" s="125">
        <f t="shared" si="4"/>
        <v>0</v>
      </c>
      <c r="E355" s="125">
        <f t="shared" si="5"/>
        <v>0</v>
      </c>
    </row>
    <row r="356">
      <c r="A356" s="126">
        <f t="shared" si="2"/>
        <v>2054</v>
      </c>
      <c r="B356" s="126">
        <f t="shared" si="3"/>
        <v>7</v>
      </c>
      <c r="C356" s="125">
        <f t="shared" si="1"/>
        <v>7207.722077</v>
      </c>
      <c r="D356" s="125">
        <f t="shared" si="4"/>
        <v>0</v>
      </c>
      <c r="E356" s="125">
        <f t="shared" si="5"/>
        <v>0</v>
      </c>
    </row>
    <row r="357">
      <c r="A357" s="126">
        <f t="shared" si="2"/>
        <v>2054</v>
      </c>
      <c r="B357" s="126">
        <f t="shared" si="3"/>
        <v>8</v>
      </c>
      <c r="C357" s="125">
        <f t="shared" si="1"/>
        <v>7207.722077</v>
      </c>
      <c r="D357" s="125">
        <f t="shared" si="4"/>
        <v>0</v>
      </c>
      <c r="E357" s="125">
        <f t="shared" si="5"/>
        <v>0</v>
      </c>
    </row>
    <row r="358">
      <c r="A358" s="126">
        <f t="shared" si="2"/>
        <v>2054</v>
      </c>
      <c r="B358" s="126">
        <f t="shared" si="3"/>
        <v>9</v>
      </c>
      <c r="C358" s="125">
        <f t="shared" si="1"/>
        <v>7207.722077</v>
      </c>
      <c r="D358" s="125">
        <f t="shared" si="4"/>
        <v>0</v>
      </c>
      <c r="E358" s="125">
        <f t="shared" si="5"/>
        <v>0</v>
      </c>
    </row>
    <row r="359">
      <c r="A359" s="126">
        <f t="shared" si="2"/>
        <v>2054</v>
      </c>
      <c r="B359" s="126">
        <f t="shared" si="3"/>
        <v>10</v>
      </c>
      <c r="C359" s="125">
        <f t="shared" si="1"/>
        <v>7207.722077</v>
      </c>
      <c r="D359" s="125">
        <f t="shared" si="4"/>
        <v>0</v>
      </c>
      <c r="E359" s="125">
        <f t="shared" si="5"/>
        <v>0</v>
      </c>
    </row>
    <row r="360">
      <c r="A360" s="126">
        <f t="shared" si="2"/>
        <v>2054</v>
      </c>
      <c r="B360" s="126">
        <f t="shared" si="3"/>
        <v>11</v>
      </c>
      <c r="C360" s="125">
        <f t="shared" si="1"/>
        <v>7207.722077</v>
      </c>
      <c r="D360" s="125">
        <f t="shared" si="4"/>
        <v>0</v>
      </c>
      <c r="E360" s="125">
        <f t="shared" si="5"/>
        <v>0</v>
      </c>
    </row>
    <row r="361">
      <c r="A361" s="126">
        <f t="shared" si="2"/>
        <v>2054</v>
      </c>
      <c r="B361" s="126">
        <f t="shared" si="3"/>
        <v>12</v>
      </c>
      <c r="C361" s="125">
        <f t="shared" si="1"/>
        <v>7207.722077</v>
      </c>
      <c r="D361" s="125">
        <f t="shared" si="4"/>
        <v>0</v>
      </c>
      <c r="E361" s="125">
        <f t="shared" si="5"/>
        <v>0</v>
      </c>
    </row>
  </sheetData>
  <mergeCells count="2">
    <mergeCell ref="G1:H1"/>
    <mergeCell ref="G11:I11"/>
  </mergeCells>
  <drawing r:id="rId1"/>
</worksheet>
</file>